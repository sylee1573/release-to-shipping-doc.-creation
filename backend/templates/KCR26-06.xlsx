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737" firstSheet="0" activeTab="0" autoFilterDateGrouping="1"/>
  </bookViews>
  <sheets>
    <sheet xmlns:r="http://schemas.openxmlformats.org/officeDocument/2006/relationships" name="IN" sheetId="1" state="visible" r:id="rId1"/>
    <sheet xmlns:r="http://schemas.openxmlformats.org/officeDocument/2006/relationships" name="PA" sheetId="2" state="visible" r:id="rId2"/>
    <sheet xmlns:r="http://schemas.openxmlformats.org/officeDocument/2006/relationships" name="INVOICE" sheetId="3" state="visible" r:id="rId3"/>
    <sheet xmlns:r="http://schemas.openxmlformats.org/officeDocument/2006/relationships" name="PACKING" sheetId="4" state="visible" r:id="rId4"/>
    <sheet xmlns:r="http://schemas.openxmlformats.org/officeDocument/2006/relationships" name="쉬핑마크1" sheetId="5" state="visible" r:id="rId5"/>
    <sheet xmlns:r="http://schemas.openxmlformats.org/officeDocument/2006/relationships" name="Skid" sheetId="6" state="visible" r:id="rId6"/>
    <sheet xmlns:r="http://schemas.openxmlformats.org/officeDocument/2006/relationships" name="MASTER" sheetId="7" state="visible" r:id="rId7"/>
    <sheet xmlns:r="http://schemas.openxmlformats.org/officeDocument/2006/relationships" name="출고증 (2)" sheetId="8" state="visible" r:id="rId8"/>
    <sheet xmlns:r="http://schemas.openxmlformats.org/officeDocument/2006/relationships" name="원산지증명" sheetId="9" state="visible" r:id="rId9"/>
  </sheets>
  <definedNames>
    <definedName name="_xlnm.Print_Area" localSheetId="0">'IN'!$A$1:$O$66</definedName>
    <definedName name="_xlnm.Print_Area" localSheetId="1">'PA'!$A$1:$O$66</definedName>
  </definedNames>
  <calcPr calcId="191029" fullCalcOnLoad="1"/>
</workbook>
</file>

<file path=xl/styles.xml><?xml version="1.0" encoding="utf-8"?>
<styleSheet xmlns="http://schemas.openxmlformats.org/spreadsheetml/2006/main">
  <numFmts count="22">
    <numFmt numFmtId="164" formatCode="mm&quot;/&quot;dd&quot;/&quot;yy"/>
    <numFmt numFmtId="165" formatCode="\$#,##0.000_);[Red]\(\$#,##0.000\)"/>
    <numFmt numFmtId="166" formatCode="\$#,##0.00_);[Red]\(\$#,##0.00\)"/>
    <numFmt numFmtId="167" formatCode="#,##0_ "/>
    <numFmt numFmtId="168" formatCode="0_);[Red]\(0\)"/>
    <numFmt numFmtId="169" formatCode="#,##0.000_ "/>
    <numFmt numFmtId="170" formatCode="0.000_);[Red]\(0.000\)"/>
    <numFmt numFmtId="171" formatCode="\$#,##0.000"/>
    <numFmt numFmtId="172" formatCode="\$#,##0.00"/>
    <numFmt numFmtId="173" formatCode="#,##0.00_);[Red]\(#,##0.00\)"/>
    <numFmt numFmtId="174" formatCode="0.000_ "/>
    <numFmt numFmtId="175" formatCode="#,##0_);[Red]\(#,##0\)"/>
    <numFmt numFmtId="176" formatCode="\$#,##0.0000_);[Red]\(\$#,##0.0000\)"/>
    <numFmt numFmtId="177" formatCode="[$-409]d&quot;-&quot;mmm&quot;-&quot;yy;@"/>
    <numFmt numFmtId="178" formatCode="0_ "/>
    <numFmt numFmtId="179" formatCode="mmmm\ dd\,\ yyyy"/>
    <numFmt numFmtId="180" formatCode="mm&quot;월&quot;\ dd&quot;일&quot;"/>
    <numFmt numFmtId="181" formatCode="_ * #,##0_ ;_ * \-#,##0_ ;_ * &quot;-&quot;_ ;_ @_ "/>
    <numFmt numFmtId="182" formatCode="_ * #,##0.00_ ;_ * \-#,##0.00_ ;_ * &quot;-&quot;??_ ;_ @_ "/>
    <numFmt numFmtId="183" formatCode="_(&quot;$&quot;* #,##0.00_);_(&quot;$&quot;* \(#,##0.00\);_(&quot;$&quot;* &quot;-&quot;??_);_(@_)"/>
    <numFmt numFmtId="184" formatCode="#,##0;[Red]&quot;-&quot;#,##0"/>
    <numFmt numFmtId="185" formatCode="#,##0.00;[Red]&quot;-&quot;#,##0.00"/>
  </numFmts>
  <fonts count="69">
    <font>
      <name val="돋움"/>
      <charset val="129"/>
      <family val="3"/>
      <sz val="11"/>
    </font>
    <font>
      <name val="돋움"/>
      <charset val="129"/>
      <family val="3"/>
      <b val="1"/>
      <sz val="11"/>
    </font>
    <font>
      <name val="Arial"/>
      <family val="2"/>
      <sz val="10"/>
    </font>
    <font>
      <name val="뼻뮝"/>
      <charset val="129"/>
      <family val="3"/>
      <sz val="12"/>
    </font>
    <font>
      <name val="바탕체"/>
      <charset val="129"/>
      <family val="1"/>
      <sz val="12"/>
    </font>
    <font>
      <name val="바탕체"/>
      <charset val="129"/>
      <family val="1"/>
      <b val="1"/>
      <sz val="11"/>
    </font>
    <font>
      <name val="돋움"/>
      <charset val="129"/>
      <family val="3"/>
      <sz val="8"/>
    </font>
    <font>
      <name val="Courier New"/>
      <family val="3"/>
      <sz val="11"/>
    </font>
    <font>
      <name val="Courier New"/>
      <family val="3"/>
      <b val="1"/>
      <sz val="11"/>
    </font>
    <font>
      <name val="Courier New"/>
      <family val="3"/>
      <sz val="9"/>
    </font>
    <font>
      <name val="Courier New"/>
      <family val="3"/>
      <b val="1"/>
      <sz val="10"/>
    </font>
    <font>
      <name val="Courier New"/>
      <family val="3"/>
      <b val="1"/>
      <sz val="12"/>
    </font>
    <font>
      <name val="Courier New"/>
      <family val="3"/>
      <sz val="10"/>
    </font>
    <font>
      <name val="Courier New"/>
      <family val="3"/>
      <b val="1"/>
      <sz val="9"/>
    </font>
    <font>
      <name val="Arial"/>
      <family val="2"/>
      <b val="1"/>
      <color indexed="9"/>
      <sz val="11"/>
    </font>
    <font>
      <name val="Arial"/>
      <family val="2"/>
      <sz val="11"/>
    </font>
    <font>
      <name val="바탕체"/>
      <charset val="129"/>
      <family val="1"/>
      <sz val="10"/>
    </font>
    <font>
      <name val="Courier New"/>
      <family val="3"/>
      <b val="1"/>
      <sz val="8"/>
    </font>
    <font>
      <name val="Courier New"/>
      <family val="3"/>
      <b val="1"/>
      <sz val="20"/>
    </font>
    <font>
      <name val="돋움"/>
      <charset val="129"/>
      <family val="3"/>
      <b val="1"/>
      <color indexed="9"/>
      <sz val="11"/>
    </font>
    <font>
      <name val="Arial"/>
      <family val="2"/>
      <color indexed="8"/>
      <sz val="11"/>
    </font>
    <font>
      <name val="돋움"/>
      <charset val="129"/>
      <family val="3"/>
      <color indexed="8"/>
      <sz val="11"/>
    </font>
    <font>
      <name val="돋움"/>
      <charset val="129"/>
      <family val="3"/>
      <sz val="10"/>
    </font>
    <font>
      <name val="바탕체"/>
      <charset val="129"/>
      <family val="1"/>
      <b val="1"/>
      <sz val="10"/>
    </font>
    <font>
      <name val="돋움"/>
      <charset val="129"/>
      <family val="3"/>
      <sz val="11"/>
    </font>
    <font>
      <name val="Arial"/>
      <family val="2"/>
      <sz val="14"/>
    </font>
    <font>
      <name val="Arial"/>
      <family val="2"/>
      <b val="1"/>
      <sz val="12"/>
    </font>
    <font>
      <name val="맑은 고딕"/>
      <charset val="129"/>
      <family val="3"/>
      <color indexed="8"/>
      <sz val="11"/>
    </font>
    <font>
      <name val="맑은 고딕"/>
      <charset val="129"/>
      <family val="3"/>
      <color indexed="9"/>
      <sz val="11"/>
    </font>
    <font>
      <name val="맑은 고딕"/>
      <charset val="129"/>
      <family val="3"/>
      <color indexed="10"/>
      <sz val="11"/>
    </font>
    <font>
      <name val="맑은 고딕"/>
      <charset val="129"/>
      <family val="3"/>
      <b val="1"/>
      <color indexed="52"/>
      <sz val="11"/>
    </font>
    <font>
      <name val="맑은 고딕"/>
      <charset val="129"/>
      <family val="3"/>
      <color indexed="20"/>
      <sz val="11"/>
    </font>
    <font>
      <name val="맑은 고딕"/>
      <charset val="129"/>
      <family val="3"/>
      <color indexed="60"/>
      <sz val="11"/>
    </font>
    <font>
      <name val="맑은 고딕"/>
      <charset val="129"/>
      <family val="3"/>
      <i val="1"/>
      <color indexed="23"/>
      <sz val="11"/>
    </font>
    <font>
      <name val="맑은 고딕"/>
      <charset val="129"/>
      <family val="3"/>
      <b val="1"/>
      <color indexed="9"/>
      <sz val="11"/>
    </font>
    <font>
      <name val="맑은 고딕"/>
      <charset val="129"/>
      <family val="3"/>
      <color indexed="52"/>
      <sz val="11"/>
    </font>
    <font>
      <name val="맑은 고딕"/>
      <charset val="129"/>
      <family val="3"/>
      <b val="1"/>
      <color indexed="8"/>
      <sz val="11"/>
    </font>
    <font>
      <name val="맑은 고딕"/>
      <charset val="129"/>
      <family val="3"/>
      <color indexed="62"/>
      <sz val="11"/>
    </font>
    <font>
      <name val="맑은 고딕"/>
      <charset val="129"/>
      <family val="3"/>
      <b val="1"/>
      <color indexed="56"/>
      <sz val="18"/>
    </font>
    <font>
      <name val="맑은 고딕"/>
      <charset val="129"/>
      <family val="3"/>
      <b val="1"/>
      <color indexed="56"/>
      <sz val="15"/>
    </font>
    <font>
      <name val="맑은 고딕"/>
      <charset val="129"/>
      <family val="3"/>
      <b val="1"/>
      <color indexed="56"/>
      <sz val="13"/>
    </font>
    <font>
      <name val="맑은 고딕"/>
      <charset val="129"/>
      <family val="3"/>
      <b val="1"/>
      <color indexed="56"/>
      <sz val="11"/>
    </font>
    <font>
      <name val="맑은 고딕"/>
      <charset val="129"/>
      <family val="3"/>
      <color indexed="17"/>
      <sz val="11"/>
    </font>
    <font>
      <name val="맑은 고딕"/>
      <charset val="129"/>
      <family val="3"/>
      <b val="1"/>
      <color indexed="63"/>
      <sz val="11"/>
    </font>
    <font>
      <name val="맑은 고딕"/>
      <charset val="129"/>
      <family val="3"/>
      <color indexed="12"/>
      <sz val="11"/>
      <u val="single"/>
    </font>
    <font>
      <name val="맑은 고딕"/>
      <charset val="129"/>
      <family val="3"/>
      <sz val="8"/>
    </font>
    <font>
      <name val="한양중고딕"/>
      <charset val="129"/>
      <family val="3"/>
      <color indexed="8"/>
      <sz val="12"/>
    </font>
    <font>
      <name val="휴먼명조"/>
      <charset val="129"/>
      <family val="3"/>
      <b val="1"/>
      <color indexed="8"/>
      <sz val="12"/>
      <u val="single"/>
    </font>
    <font>
      <name val="Times New Roman"/>
      <family val="1"/>
      <b val="1"/>
      <color indexed="8"/>
      <sz val="14"/>
    </font>
    <font>
      <name val="한양중고딕"/>
      <charset val="129"/>
      <family val="3"/>
      <color indexed="8"/>
      <sz val="9"/>
    </font>
    <font>
      <name val="바탕"/>
      <charset val="129"/>
      <family val="1"/>
      <color indexed="8"/>
      <sz val="10"/>
    </font>
    <font>
      <name val="한양중고딕"/>
      <charset val="129"/>
      <family val="3"/>
      <b val="1"/>
      <color indexed="8"/>
      <sz val="10"/>
    </font>
    <font>
      <name val="한양중고딕"/>
      <charset val="129"/>
      <family val="3"/>
      <color indexed="8"/>
      <sz val="10"/>
    </font>
    <font>
      <name val="한양중고딕"/>
      <charset val="129"/>
      <family val="3"/>
      <color indexed="8"/>
      <sz val="8"/>
    </font>
    <font>
      <name val="한양신명조"/>
      <charset val="129"/>
      <family val="3"/>
      <color indexed="8"/>
      <sz val="14"/>
    </font>
    <font>
      <name val="바탕체"/>
      <charset val="129"/>
      <family val="1"/>
      <b val="1"/>
      <sz val="10.5"/>
    </font>
    <font>
      <name val="돋움"/>
      <charset val="129"/>
      <family val="3"/>
      <b val="1"/>
      <sz val="8"/>
    </font>
    <font>
      <name val="돋움"/>
      <charset val="129"/>
      <family val="3"/>
      <sz val="9"/>
    </font>
    <font>
      <name val="돋움"/>
      <charset val="129"/>
      <family val="3"/>
      <b val="1"/>
      <sz val="14"/>
    </font>
    <font>
      <name val="Courier New"/>
      <family val="3"/>
      <b val="1"/>
      <sz val="14"/>
    </font>
    <font>
      <name val="Courier New"/>
      <family val="3"/>
      <b val="1"/>
      <sz val="9"/>
      <u val="single"/>
    </font>
    <font>
      <name val="Courier New"/>
      <family val="3"/>
      <b val="1"/>
      <sz val="18"/>
    </font>
    <font>
      <name val="돋움"/>
      <charset val="129"/>
      <family val="3"/>
      <b val="1"/>
      <sz val="24"/>
    </font>
    <font>
      <name val="Courier New"/>
      <family val="3"/>
      <b val="1"/>
      <sz val="24"/>
    </font>
    <font>
      <name val="돋움"/>
      <charset val="129"/>
      <family val="3"/>
      <b val="1"/>
      <sz val="18"/>
    </font>
    <font>
      <name val="돋움"/>
      <charset val="129"/>
      <family val="3"/>
      <sz val="18"/>
    </font>
    <font>
      <name val="Courier New"/>
      <family val="3"/>
      <b val="1"/>
      <sz val="6"/>
    </font>
    <font>
      <name val="Arial"/>
      <family val="2"/>
      <b val="1"/>
      <color rgb="FFFF0000"/>
      <sz val="12"/>
    </font>
    <font>
      <name val="Arial"/>
      <family val="3"/>
      <b val="1"/>
      <sz val="8"/>
    </font>
  </fonts>
  <fills count="30">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indexed="43"/>
        <bgColor indexed="64"/>
      </patternFill>
    </fill>
    <fill>
      <patternFill patternType="solid">
        <fgColor indexed="8"/>
        <bgColor indexed="64"/>
      </patternFill>
    </fill>
    <fill>
      <patternFill patternType="solid">
        <fgColor indexed="42"/>
        <bgColor indexed="64"/>
      </patternFill>
    </fill>
    <fill>
      <patternFill patternType="solid">
        <fgColor indexed="47"/>
        <bgColor indexed="64"/>
      </patternFill>
    </fill>
    <fill>
      <patternFill patternType="solid">
        <fgColor indexed="22"/>
        <bgColor indexed="64"/>
      </patternFill>
    </fill>
    <fill>
      <patternFill patternType="solid">
        <fgColor rgb="FFFFFF00"/>
        <bgColor indexed="64"/>
      </patternFill>
    </fill>
  </fills>
  <borders count="169">
    <border>
      <left/>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63"/>
      </left>
      <right style="thin">
        <color indexed="63"/>
      </right>
      <top style="thin">
        <color indexed="63"/>
      </top>
      <bottom style="thin">
        <color indexed="63"/>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indexed="64"/>
      </right>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bottom/>
      <diagonal/>
    </border>
    <border>
      <left style="medium">
        <color indexed="64"/>
      </left>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8"/>
      </left>
      <right style="thin">
        <color indexed="8"/>
      </right>
      <top style="thick">
        <color indexed="8"/>
      </top>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ck">
        <color indexed="8"/>
      </bottom>
      <diagonal/>
    </border>
    <border>
      <left style="thick">
        <color indexed="64"/>
      </left>
      <right style="thin">
        <color indexed="8"/>
      </right>
      <top style="thick">
        <color indexed="8"/>
      </top>
      <bottom/>
      <diagonal/>
    </border>
    <border>
      <left style="thin">
        <color indexed="8"/>
      </left>
      <right style="thick">
        <color indexed="64"/>
      </right>
      <top style="thick">
        <color indexed="8"/>
      </top>
      <bottom/>
      <diagonal/>
    </border>
    <border>
      <left style="thick">
        <color indexed="64"/>
      </left>
      <right style="thin">
        <color indexed="8"/>
      </right>
      <top/>
      <bottom style="thin">
        <color indexed="8"/>
      </bottom>
      <diagonal/>
    </border>
    <border>
      <left style="thin">
        <color indexed="8"/>
      </left>
      <right style="thick">
        <color indexed="64"/>
      </right>
      <top/>
      <bottom style="thin">
        <color indexed="8"/>
      </bottom>
      <diagonal/>
    </border>
    <border>
      <left style="thick">
        <color indexed="64"/>
      </left>
      <right style="thin">
        <color indexed="8"/>
      </right>
      <top style="thin">
        <color indexed="8"/>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style="thick">
        <color indexed="64"/>
      </right>
      <top style="thin">
        <color indexed="8"/>
      </top>
      <bottom/>
      <diagonal/>
    </border>
    <border>
      <left style="thick">
        <color indexed="64"/>
      </left>
      <right style="thin">
        <color indexed="8"/>
      </right>
      <top/>
      <bottom/>
      <diagonal/>
    </border>
    <border>
      <left style="thin">
        <color indexed="8"/>
      </left>
      <right/>
      <top/>
      <bottom/>
      <diagonal/>
    </border>
    <border>
      <left/>
      <right style="thin">
        <color indexed="8"/>
      </right>
      <top/>
      <bottom/>
      <diagonal/>
    </border>
    <border>
      <left style="thin">
        <color indexed="8"/>
      </left>
      <right style="thin">
        <color indexed="8"/>
      </right>
      <top/>
      <bottom/>
      <diagonal/>
    </border>
    <border>
      <left style="thin">
        <color indexed="8"/>
      </left>
      <right style="thick">
        <color indexed="64"/>
      </right>
      <top/>
      <bottom/>
      <diagonal/>
    </border>
    <border>
      <left/>
      <right style="thin">
        <color indexed="8"/>
      </right>
      <top/>
      <bottom style="thick">
        <color indexed="8"/>
      </bottom>
      <diagonal/>
    </border>
    <border>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right style="thin">
        <color indexed="64"/>
      </right>
      <top/>
      <bottom style="medium">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8"/>
      </left>
      <right style="thin">
        <color indexed="8"/>
      </right>
      <top style="thick">
        <color indexed="8"/>
      </top>
      <bottom style="thin">
        <color indexed="8"/>
      </bottom>
      <diagonal/>
    </border>
    <border>
      <left style="thin">
        <color indexed="8"/>
      </left>
      <right/>
      <top style="thick">
        <color indexed="8"/>
      </top>
      <bottom/>
      <diagonal/>
    </border>
    <border>
      <left/>
      <right/>
      <top style="thick">
        <color indexed="8"/>
      </top>
      <bottom/>
      <diagonal/>
    </border>
    <border>
      <left style="thick">
        <color indexed="8"/>
      </left>
      <right/>
      <top/>
      <bottom/>
      <diagonal/>
    </border>
    <border>
      <left/>
      <right style="thick">
        <color indexed="64"/>
      </right>
      <top/>
      <bottom/>
      <diagonal/>
    </border>
    <border>
      <left style="thick">
        <color indexed="8"/>
      </left>
      <right/>
      <top/>
      <bottom style="thick">
        <color indexed="8"/>
      </bottom>
      <diagonal/>
    </border>
    <border>
      <left/>
      <right/>
      <top/>
      <bottom style="thick">
        <color indexed="8"/>
      </bottom>
      <diagonal/>
    </border>
    <border>
      <left/>
      <right style="thick">
        <color indexed="64"/>
      </right>
      <top/>
      <bottom style="thick">
        <color indexed="8"/>
      </bottom>
      <diagonal/>
    </border>
    <border>
      <left/>
      <right style="thick">
        <color indexed="8"/>
      </right>
      <top style="thick">
        <color indexed="8"/>
      </top>
      <bottom/>
      <diagonal/>
    </border>
    <border>
      <left/>
      <right style="thick">
        <color indexed="8"/>
      </right>
      <top/>
      <bottom/>
      <diagonal/>
    </border>
    <border>
      <left style="thin">
        <color indexed="8"/>
      </left>
      <right/>
      <top style="thin">
        <color indexed="8"/>
      </top>
      <bottom style="thick">
        <color indexed="8"/>
      </bottom>
      <diagonal/>
    </border>
    <border>
      <left/>
      <right style="thin">
        <color indexed="8"/>
      </right>
      <top style="thin">
        <color indexed="8"/>
      </top>
      <bottom style="thick">
        <color indexed="8"/>
      </bottom>
      <diagonal/>
    </border>
    <border>
      <left style="thin">
        <color indexed="8"/>
      </left>
      <right/>
      <top/>
      <bottom style="thin">
        <color indexed="8"/>
      </bottom>
      <diagonal/>
    </border>
    <border>
      <left/>
      <right/>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64"/>
      </left>
      <right/>
      <top style="thick">
        <color indexed="8"/>
      </top>
      <bottom style="thick">
        <color indexed="8"/>
      </bottom>
      <diagonal/>
    </border>
    <border>
      <left/>
      <right/>
      <top style="thick">
        <color indexed="8"/>
      </top>
      <bottom style="thick">
        <color indexed="8"/>
      </bottom>
      <diagonal/>
    </border>
    <border>
      <left/>
      <right style="thick">
        <color indexed="64"/>
      </right>
      <top style="thick">
        <color indexed="8"/>
      </top>
      <bottom style="thick">
        <color indexed="8"/>
      </bottom>
      <diagonal/>
    </border>
    <border>
      <left/>
      <right style="thin">
        <color indexed="8"/>
      </right>
      <top/>
      <bottom style="thin">
        <color indexed="8"/>
      </bottom>
      <diagonal/>
    </border>
    <border>
      <left/>
      <right style="thin">
        <color indexed="8"/>
      </right>
      <top style="thick">
        <color indexed="8"/>
      </top>
      <bottom/>
      <diagonal/>
    </border>
    <border>
      <left style="thick">
        <color indexed="64"/>
      </left>
      <right/>
      <top style="thick">
        <color indexed="8"/>
      </top>
      <bottom/>
      <diagonal/>
    </border>
    <border>
      <left style="thick">
        <color indexed="64"/>
      </left>
      <right/>
      <top/>
      <bottom/>
      <diagonal/>
    </border>
    <border>
      <left style="thick">
        <color indexed="64"/>
      </left>
      <right/>
      <top/>
      <bottom style="thick">
        <color indexed="8"/>
      </bottom>
      <diagonal/>
    </border>
    <border>
      <left style="thin">
        <color indexed="8"/>
      </left>
      <right/>
      <top style="thick">
        <color indexed="8"/>
      </top>
      <bottom style="thin">
        <color indexed="8"/>
      </bottom>
      <diagonal/>
    </border>
    <border>
      <left/>
      <right style="thick">
        <color indexed="64"/>
      </right>
      <top style="thick">
        <color indexed="8"/>
      </top>
      <bottom style="thin">
        <color indexed="8"/>
      </bottom>
      <diagonal/>
    </border>
    <border>
      <left/>
      <right style="thick">
        <color indexed="64"/>
      </right>
      <top style="thin">
        <color indexed="8"/>
      </top>
      <bottom style="thin">
        <color indexed="8"/>
      </bottom>
      <diagonal/>
    </border>
    <border>
      <left/>
      <right style="thin">
        <color indexed="8"/>
      </right>
      <top style="thick">
        <color indexed="8"/>
      </top>
      <bottom style="thin">
        <color indexed="8"/>
      </bottom>
      <diagonal/>
    </border>
    <border>
      <left/>
      <right style="thin">
        <color indexed="8"/>
      </right>
      <top style="thin">
        <color indexed="8"/>
      </top>
      <bottom style="thin">
        <color indexed="8"/>
      </bottom>
      <diagonal/>
    </border>
    <border>
      <left style="thin">
        <color indexed="8"/>
      </left>
      <right/>
      <top style="thin">
        <color indexed="8"/>
      </top>
      <bottom style="thick">
        <color indexed="64"/>
      </bottom>
      <diagonal/>
    </border>
    <border>
      <left/>
      <right/>
      <top style="thin">
        <color indexed="8"/>
      </top>
      <bottom style="thick">
        <color indexed="64"/>
      </bottom>
      <diagonal/>
    </border>
    <border>
      <left style="thick">
        <color indexed="8"/>
      </left>
      <right style="thin">
        <color indexed="8"/>
      </right>
      <top style="thick">
        <color indexed="8"/>
      </top>
      <bottom/>
      <diagonal/>
    </border>
    <border>
      <left style="thick">
        <color indexed="8"/>
      </left>
      <right style="thin">
        <color indexed="8"/>
      </right>
      <top/>
      <bottom/>
      <diagonal/>
    </border>
    <border>
      <left style="thick">
        <color indexed="8"/>
      </left>
      <right style="thin">
        <color indexed="8"/>
      </right>
      <top/>
      <bottom style="thick">
        <color indexed="8"/>
      </bottom>
      <diagonal/>
    </border>
    <border>
      <left/>
      <right style="thick">
        <color indexed="64"/>
      </right>
      <top style="thin">
        <color indexed="8"/>
      </top>
      <bottom style="thick">
        <color indexed="8"/>
      </bottom>
      <diagonal/>
    </border>
    <border>
      <left style="medium">
        <color indexed="8"/>
      </left>
      <right/>
      <top style="thick">
        <color indexed="8"/>
      </top>
      <bottom/>
      <diagonal/>
    </border>
    <border>
      <left/>
      <right style="thick">
        <color indexed="64"/>
      </right>
      <top style="thick">
        <color indexed="8"/>
      </top>
      <bottom/>
      <diagonal/>
    </border>
    <border>
      <left/>
      <right style="medium">
        <color indexed="8"/>
      </right>
      <top style="thick">
        <color indexed="8"/>
      </top>
      <bottom/>
      <diagonal/>
    </border>
    <border>
      <left style="thick">
        <color indexed="64"/>
      </left>
      <right/>
      <top/>
      <bottom style="thick">
        <color indexed="64"/>
      </bottom>
      <diagonal/>
    </border>
    <border>
      <left/>
      <right/>
      <top/>
      <bottom style="thick">
        <color indexed="64"/>
      </bottom>
      <diagonal/>
    </border>
    <border>
      <left/>
      <right style="medium">
        <color indexed="8"/>
      </right>
      <top/>
      <bottom style="thick">
        <color indexed="64"/>
      </bottom>
      <diagonal/>
    </border>
    <border>
      <left style="medium">
        <color indexed="8"/>
      </left>
      <right/>
      <top style="medium">
        <color indexed="8"/>
      </top>
      <bottom/>
      <diagonal/>
    </border>
    <border>
      <left/>
      <right/>
      <top style="medium">
        <color indexed="8"/>
      </top>
      <bottom/>
      <diagonal/>
    </border>
    <border>
      <left/>
      <right style="thick">
        <color indexed="64"/>
      </right>
      <top style="medium">
        <color indexed="8"/>
      </top>
      <bottom/>
      <diagonal/>
    </border>
    <border>
      <left style="medium">
        <color indexed="8"/>
      </left>
      <right/>
      <top/>
      <bottom/>
      <diagonal/>
    </border>
    <border>
      <left style="medium">
        <color indexed="8"/>
      </left>
      <right/>
      <top/>
      <bottom style="thick">
        <color indexed="64"/>
      </bottom>
      <diagonal/>
    </border>
    <border>
      <left/>
      <right style="thick">
        <color indexed="64"/>
      </right>
      <top/>
      <bottom style="thick">
        <color indexed="64"/>
      </bottom>
      <diagonal/>
    </border>
    <border>
      <left style="thick">
        <color indexed="64"/>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style="medium">
        <color indexed="8"/>
      </bottom>
      <diagonal/>
    </border>
    <border>
      <left/>
      <right style="thick">
        <color indexed="64"/>
      </right>
      <top/>
      <bottom style="medium">
        <color indexed="8"/>
      </bottom>
      <diagonal/>
    </border>
    <border>
      <left style="thick">
        <color indexed="64"/>
      </left>
      <right/>
      <top style="medium">
        <color indexed="8"/>
      </top>
      <bottom/>
      <diagonal/>
    </border>
    <border>
      <left/>
      <right style="medium">
        <color indexed="8"/>
      </right>
      <top style="medium">
        <color indexed="8"/>
      </top>
      <bottom/>
      <diagonal/>
    </border>
    <border>
      <left/>
      <right style="medium">
        <color indexed="8"/>
      </right>
      <top/>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8"/>
      </left>
      <right/>
      <top style="thick">
        <color indexed="8"/>
      </top>
      <bottom/>
      <diagonal/>
    </border>
    <border>
      <left style="thin">
        <color indexed="8"/>
      </left>
      <right style="thin">
        <color indexed="8"/>
      </right>
      <top/>
      <bottom style="thick">
        <color indexed="8"/>
      </bottom>
      <diagonal/>
    </border>
    <border>
      <left/>
      <right style="thick">
        <color indexed="8"/>
      </right>
      <top/>
      <bottom style="thin">
        <color indexed="8"/>
      </bottom>
      <diagonal/>
    </border>
    <border>
      <left/>
      <right style="thick">
        <color indexed="8"/>
      </right>
      <top style="thin">
        <color indexed="8"/>
      </top>
      <bottom/>
      <diagonal/>
    </border>
    <border>
      <left style="thin">
        <color indexed="8"/>
      </left>
      <right/>
      <top/>
      <bottom style="thick">
        <color indexed="64"/>
      </bottom>
      <diagonal/>
    </border>
    <border>
      <left/>
      <right style="thick">
        <color indexed="8"/>
      </right>
      <top/>
      <bottom style="thick">
        <color indexed="64"/>
      </bottom>
      <diagonal/>
    </border>
    <border>
      <left style="medium">
        <color indexed="64"/>
      </left>
      <right style="medium">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diagonal/>
    </border>
    <border>
      <left style="thin">
        <color indexed="64"/>
      </left>
      <right style="medium">
        <color indexed="64"/>
      </right>
      <top/>
      <bottom/>
      <diagonal/>
    </border>
    <border>
      <left style="thin">
        <color indexed="64"/>
      </left>
      <right style="thin">
        <color indexed="64"/>
      </right>
      <top style="thin">
        <color indexed="64"/>
      </top>
      <bottom style="medium">
        <color indexed="64"/>
      </bottom>
      <diagonal/>
    </border>
    <border>
      <left style="thick">
        <color indexed="64"/>
      </left>
      <right style="thick">
        <color indexed="64"/>
      </right>
      <top style="thick">
        <color indexed="64"/>
      </top>
      <bottom/>
      <diagonal/>
    </border>
    <border>
      <left style="thick">
        <color indexed="64"/>
      </left>
      <right style="thick">
        <color indexed="64"/>
      </right>
      <top/>
      <bottom style="thick">
        <color indexed="8"/>
      </bottom>
      <diagonal/>
    </border>
    <border>
      <left style="thick">
        <color indexed="8"/>
      </left>
      <right style="thick">
        <color indexed="64"/>
      </right>
      <top style="thick">
        <color indexed="8"/>
      </top>
      <bottom/>
      <diagonal/>
    </border>
    <border>
      <left style="thick">
        <color indexed="8"/>
      </left>
      <right style="thick">
        <color indexed="64"/>
      </right>
      <top/>
      <bottom/>
      <diagonal/>
    </border>
    <border>
      <left style="thick">
        <color indexed="64"/>
      </left>
      <right style="thin">
        <color indexed="8"/>
      </right>
      <top style="thick">
        <color indexed="8"/>
      </top>
      <bottom style="thick">
        <color indexed="8"/>
      </bottom>
      <diagonal/>
    </border>
    <border>
      <left style="thin">
        <color indexed="8"/>
      </left>
      <right style="thick">
        <color indexed="8"/>
      </right>
      <top/>
      <bottom style="thin">
        <color indexed="8"/>
      </bottom>
      <diagonal/>
    </border>
    <border>
      <left style="thin">
        <color indexed="8"/>
      </left>
      <right style="thick">
        <color indexed="8"/>
      </right>
      <top style="thin">
        <color indexed="8"/>
      </top>
      <bottom style="thick">
        <color indexed="64"/>
      </bottom>
      <diagonal/>
    </border>
    <border>
      <left style="thin">
        <color indexed="8"/>
      </left>
      <right style="thick">
        <color indexed="8"/>
      </right>
      <top style="thin">
        <color indexed="8"/>
      </top>
      <bottom style="thin">
        <color indexed="8"/>
      </bottom>
      <diagonal/>
    </border>
    <border>
      <left style="thick">
        <color indexed="64"/>
      </left>
      <right style="thick">
        <color indexed="64"/>
      </right>
      <top/>
      <bottom/>
      <diagonal/>
    </border>
    <border>
      <left style="thick">
        <color indexed="64"/>
      </left>
      <right style="thick">
        <color indexed="64"/>
      </right>
      <top style="thick">
        <color indexed="8"/>
      </top>
      <bottom/>
      <diagonal/>
    </border>
    <border>
      <left style="medium">
        <color indexed="8"/>
      </left>
      <right style="thick">
        <color indexed="64"/>
      </right>
      <top style="thick">
        <color indexed="8"/>
      </top>
      <bottom/>
      <diagonal/>
    </border>
    <border>
      <left style="thick">
        <color indexed="64"/>
      </left>
      <right style="medium">
        <color indexed="8"/>
      </right>
      <top style="thick">
        <color indexed="8"/>
      </top>
      <bottom/>
      <diagonal/>
    </border>
    <border>
      <left style="thick">
        <color indexed="64"/>
      </left>
      <right style="medium">
        <color indexed="8"/>
      </right>
      <top/>
      <bottom style="thick">
        <color indexed="64"/>
      </bottom>
      <diagonal/>
    </border>
    <border>
      <left style="medium">
        <color indexed="8"/>
      </left>
      <right style="thick">
        <color indexed="64"/>
      </right>
      <top style="medium">
        <color indexed="8"/>
      </top>
      <bottom style="thick">
        <color indexed="64"/>
      </bottom>
      <diagonal/>
    </border>
    <border>
      <left style="thick">
        <color indexed="64"/>
      </left>
      <right style="medium">
        <color indexed="8"/>
      </right>
      <top/>
      <bottom style="medium">
        <color indexed="8"/>
      </bottom>
      <diagonal/>
    </border>
    <border>
      <left style="medium">
        <color indexed="8"/>
      </left>
      <right style="thick">
        <color indexed="64"/>
      </right>
      <top/>
      <bottom style="medium">
        <color indexed="8"/>
      </bottom>
      <diagonal/>
    </border>
    <border>
      <left style="thick">
        <color indexed="64"/>
      </left>
      <right style="medium">
        <color indexed="8"/>
      </right>
      <top style="medium">
        <color indexed="8"/>
      </top>
      <bottom/>
      <diagonal/>
    </border>
    <border>
      <left style="thick">
        <color indexed="64"/>
      </left>
      <right style="medium">
        <color indexed="8"/>
      </right>
      <top/>
      <bottom/>
      <diagonal/>
    </border>
    <border>
      <left style="medium">
        <color indexed="8"/>
      </left>
      <right style="thick">
        <color indexed="64"/>
      </right>
      <top style="medium">
        <color indexed="8"/>
      </top>
      <bottom/>
      <diagonal/>
    </border>
    <border>
      <left style="thick">
        <color indexed="8"/>
      </left>
      <right style="thin">
        <color indexed="8"/>
      </right>
      <top style="thick">
        <color indexed="8"/>
      </top>
      <bottom style="thick">
        <color indexed="8"/>
      </bottom>
      <diagonal/>
    </border>
    <border>
      <left style="thin">
        <color indexed="8"/>
      </left>
      <right style="thick">
        <color indexed="64"/>
      </right>
      <top style="thin">
        <color indexed="8"/>
      </top>
      <bottom style="thin">
        <color indexed="8"/>
      </bottom>
      <diagonal/>
    </border>
    <border>
      <left/>
      <right style="thick">
        <color indexed="64"/>
      </right>
      <top style="thin">
        <color indexed="8"/>
      </top>
      <bottom/>
      <diagonal/>
    </border>
    <border>
      <left/>
      <right style="thick">
        <color indexed="64"/>
      </right>
      <top/>
      <bottom style="thin">
        <color indexed="8"/>
      </bottom>
      <diagonal/>
    </border>
    <border>
      <left style="thin">
        <color indexed="8"/>
      </left>
      <right style="thick">
        <color indexed="64"/>
      </right>
      <top style="thin">
        <color indexed="8"/>
      </top>
      <bottom style="thick">
        <color indexed="8"/>
      </bottom>
      <diagonal/>
    </border>
    <border>
      <left style="thick">
        <color indexed="64"/>
      </left>
      <right style="thick">
        <color indexed="64"/>
      </right>
      <top style="thick">
        <color indexed="8"/>
      </top>
      <bottom style="thick">
        <color indexed="8"/>
      </bottom>
      <diagonal/>
    </border>
    <border>
      <left style="thin">
        <color indexed="8"/>
      </left>
      <right style="thick">
        <color indexed="64"/>
      </right>
      <top style="thick">
        <color indexed="8"/>
      </top>
      <bottom style="thin">
        <color indexed="8"/>
      </bottom>
      <diagonal/>
    </border>
    <border>
      <left style="thick">
        <color indexed="8"/>
      </left>
      <right style="thick">
        <color indexed="64"/>
      </right>
      <top/>
      <bottom style="thick">
        <color indexed="8"/>
      </bottom>
      <diagonal/>
    </border>
    <border>
      <left style="thin">
        <color indexed="8"/>
      </left>
      <right style="thick">
        <color indexed="8"/>
      </right>
      <top style="thick">
        <color indexed="8"/>
      </top>
      <bottom/>
      <diagonal/>
    </border>
  </borders>
  <cellStyleXfs count="52">
    <xf numFmtId="0" fontId="24" fillId="0" borderId="0"/>
    <xf numFmtId="0" fontId="27" fillId="2" borderId="0" applyAlignment="1">
      <alignment vertical="center"/>
    </xf>
    <xf numFmtId="0" fontId="27" fillId="3" borderId="0" applyAlignment="1">
      <alignment vertical="center"/>
    </xf>
    <xf numFmtId="0" fontId="27" fillId="4" borderId="0" applyAlignment="1">
      <alignment vertical="center"/>
    </xf>
    <xf numFmtId="0" fontId="27" fillId="5" borderId="0" applyAlignment="1">
      <alignment vertical="center"/>
    </xf>
    <xf numFmtId="0" fontId="27" fillId="6" borderId="0" applyAlignment="1">
      <alignment vertical="center"/>
    </xf>
    <xf numFmtId="0" fontId="27" fillId="7" borderId="0" applyAlignment="1">
      <alignment vertical="center"/>
    </xf>
    <xf numFmtId="0" fontId="27" fillId="8" borderId="0" applyAlignment="1">
      <alignment vertical="center"/>
    </xf>
    <xf numFmtId="0" fontId="27" fillId="9" borderId="0" applyAlignment="1">
      <alignment vertical="center"/>
    </xf>
    <xf numFmtId="0" fontId="27" fillId="10" borderId="0" applyAlignment="1">
      <alignment vertical="center"/>
    </xf>
    <xf numFmtId="0" fontId="27" fillId="5" borderId="0" applyAlignment="1">
      <alignment vertical="center"/>
    </xf>
    <xf numFmtId="0" fontId="27" fillId="8" borderId="0" applyAlignment="1">
      <alignment vertical="center"/>
    </xf>
    <xf numFmtId="0" fontId="27" fillId="11" borderId="0" applyAlignment="1">
      <alignment vertical="center"/>
    </xf>
    <xf numFmtId="0" fontId="28" fillId="12" borderId="0" applyAlignment="1">
      <alignment vertical="center"/>
    </xf>
    <xf numFmtId="0" fontId="28" fillId="9" borderId="0" applyAlignment="1">
      <alignment vertical="center"/>
    </xf>
    <xf numFmtId="0" fontId="28" fillId="10" borderId="0" applyAlignment="1">
      <alignment vertical="center"/>
    </xf>
    <xf numFmtId="0" fontId="28" fillId="13" borderId="0" applyAlignment="1">
      <alignment vertical="center"/>
    </xf>
    <xf numFmtId="0" fontId="28" fillId="14" borderId="0" applyAlignment="1">
      <alignment vertical="center"/>
    </xf>
    <xf numFmtId="0" fontId="28" fillId="15" borderId="0" applyAlignment="1">
      <alignment vertical="center"/>
    </xf>
    <xf numFmtId="181" fontId="2" fillId="0" borderId="0"/>
    <xf numFmtId="182" fontId="2" fillId="0" borderId="0"/>
    <xf numFmtId="42" fontId="2" fillId="0" borderId="0"/>
    <xf numFmtId="183" fontId="2" fillId="0" borderId="0"/>
    <xf numFmtId="0" fontId="2" fillId="0" borderId="0"/>
    <xf numFmtId="0" fontId="28" fillId="16" borderId="0" applyAlignment="1">
      <alignment vertical="center"/>
    </xf>
    <xf numFmtId="0" fontId="28" fillId="17" borderId="0" applyAlignment="1">
      <alignment vertical="center"/>
    </xf>
    <xf numFmtId="0" fontId="28" fillId="18" borderId="0" applyAlignment="1">
      <alignment vertical="center"/>
    </xf>
    <xf numFmtId="0" fontId="28" fillId="13" borderId="0" applyAlignment="1">
      <alignment vertical="center"/>
    </xf>
    <xf numFmtId="0" fontId="28" fillId="14" borderId="0" applyAlignment="1">
      <alignment vertical="center"/>
    </xf>
    <xf numFmtId="0" fontId="28" fillId="19" borderId="0" applyAlignment="1">
      <alignment vertical="center"/>
    </xf>
    <xf numFmtId="0" fontId="29" fillId="0" borderId="0" applyAlignment="1">
      <alignment vertical="center"/>
    </xf>
    <xf numFmtId="0" fontId="30" fillId="20" borderId="1" applyAlignment="1">
      <alignment vertical="center"/>
    </xf>
    <xf numFmtId="0" fontId="31" fillId="3" borderId="0" applyAlignment="1">
      <alignment vertical="center"/>
    </xf>
    <xf numFmtId="0" fontId="27" fillId="21" borderId="2" applyAlignment="1">
      <alignment vertical="center"/>
    </xf>
    <xf numFmtId="0" fontId="32" fillId="22" borderId="0" applyAlignment="1">
      <alignment vertical="center"/>
    </xf>
    <xf numFmtId="0" fontId="3" fillId="0" borderId="0"/>
    <xf numFmtId="0" fontId="33" fillId="0" borderId="0" applyAlignment="1">
      <alignment vertical="center"/>
    </xf>
    <xf numFmtId="0" fontId="34" fillId="23" borderId="3" applyAlignment="1">
      <alignment vertical="center"/>
    </xf>
    <xf numFmtId="0" fontId="35" fillId="0" borderId="4" applyAlignment="1">
      <alignment vertical="center"/>
    </xf>
    <xf numFmtId="0" fontId="36" fillId="0" borderId="5" applyAlignment="1">
      <alignment vertical="center"/>
    </xf>
    <xf numFmtId="0" fontId="37" fillId="7" borderId="1" applyAlignment="1">
      <alignment vertical="center"/>
    </xf>
    <xf numFmtId="0" fontId="38" fillId="0" borderId="0" applyAlignment="1">
      <alignment vertical="center"/>
    </xf>
    <xf numFmtId="0" fontId="39" fillId="0" borderId="6" applyAlignment="1">
      <alignment vertical="center"/>
    </xf>
    <xf numFmtId="0" fontId="40" fillId="0" borderId="7" applyAlignment="1">
      <alignment vertical="center"/>
    </xf>
    <xf numFmtId="0" fontId="41" fillId="0" borderId="8" applyAlignment="1">
      <alignment vertical="center"/>
    </xf>
    <xf numFmtId="0" fontId="41" fillId="0" borderId="0" applyAlignment="1">
      <alignment vertical="center"/>
    </xf>
    <xf numFmtId="0" fontId="42" fillId="4" borderId="0" applyAlignment="1">
      <alignment vertical="center"/>
    </xf>
    <xf numFmtId="0" fontId="43" fillId="20" borderId="9" applyAlignment="1">
      <alignment vertical="center"/>
    </xf>
    <xf numFmtId="184" fontId="4" fillId="0" borderId="0"/>
    <xf numFmtId="185" fontId="4" fillId="0" borderId="0"/>
    <xf numFmtId="0" fontId="27" fillId="0" borderId="0" applyAlignment="1">
      <alignment vertical="center"/>
    </xf>
    <xf numFmtId="0" fontId="44" fillId="0" borderId="0" applyAlignment="1" applyProtection="1">
      <alignment vertical="top"/>
      <protection locked="0" hidden="0"/>
    </xf>
  </cellStyleXfs>
  <cellXfs count="610">
    <xf numFmtId="0" fontId="0" fillId="0" borderId="0" pivotButton="0" quotePrefix="0" xfId="0"/>
    <xf numFmtId="0" fontId="0" fillId="0" borderId="0" applyAlignment="1" pivotButton="0" quotePrefix="0" xfId="0">
      <alignment vertical="center"/>
    </xf>
    <xf numFmtId="0" fontId="0" fillId="0" borderId="0" applyAlignment="1" pivotButton="0" quotePrefix="0" xfId="0">
      <alignment horizontal="center"/>
    </xf>
    <xf numFmtId="0" fontId="7" fillId="0" borderId="0" pivotButton="0" quotePrefix="0" xfId="0"/>
    <xf numFmtId="0" fontId="12" fillId="0" borderId="0" pivotButton="0" quotePrefix="0" xfId="0"/>
    <xf numFmtId="0" fontId="7" fillId="0" borderId="10" pivotButton="0" quotePrefix="0" xfId="0"/>
    <xf numFmtId="3" fontId="8" fillId="0" borderId="0" applyAlignment="1" pivotButton="0" quotePrefix="0" xfId="0">
      <alignment horizontal="right" vertical="center"/>
    </xf>
    <xf numFmtId="0" fontId="15" fillId="0" borderId="0" applyAlignment="1" pivotButton="0" quotePrefix="0" xfId="0">
      <alignment horizontal="center"/>
    </xf>
    <xf numFmtId="0" fontId="15" fillId="0" borderId="0" pivotButton="0" quotePrefix="0" xfId="0"/>
    <xf numFmtId="49" fontId="15" fillId="0" borderId="0" applyAlignment="1" pivotButton="0" quotePrefix="0" xfId="0">
      <alignment horizontal="left"/>
    </xf>
    <xf numFmtId="0" fontId="15" fillId="0" borderId="0" applyAlignment="1" pivotButton="0" quotePrefix="0" xfId="0">
      <alignment horizontal="right"/>
    </xf>
    <xf numFmtId="1" fontId="15" fillId="0" borderId="0" applyAlignment="1" pivotButton="0" quotePrefix="0" xfId="0">
      <alignment horizontal="center"/>
    </xf>
    <xf numFmtId="164" fontId="15" fillId="0" borderId="0" applyAlignment="1" pivotButton="0" quotePrefix="0" xfId="0">
      <alignment horizontal="center"/>
    </xf>
    <xf numFmtId="165" fontId="15" fillId="0" borderId="0" applyAlignment="1" pivotButton="0" quotePrefix="0" xfId="0">
      <alignment horizontal="center"/>
    </xf>
    <xf numFmtId="0" fontId="10" fillId="0" borderId="0" applyAlignment="1" pivotButton="0" quotePrefix="0" xfId="0">
      <alignment vertical="center"/>
    </xf>
    <xf numFmtId="0" fontId="10" fillId="0" borderId="0" applyAlignment="1" pivotButton="0" quotePrefix="0" xfId="0">
      <alignment horizontal="left" vertical="center"/>
    </xf>
    <xf numFmtId="3" fontId="12" fillId="0" borderId="11" applyAlignment="1" pivotButton="0" quotePrefix="0" xfId="0">
      <alignment horizontal="center" vertical="center"/>
    </xf>
    <xf numFmtId="0" fontId="16" fillId="0" borderId="11" applyAlignment="1" pivotButton="0" quotePrefix="0" xfId="0">
      <alignment horizontal="center" vertical="center"/>
    </xf>
    <xf numFmtId="166" fontId="12" fillId="0" borderId="11" applyAlignment="1" pivotButton="0" quotePrefix="0" xfId="0">
      <alignment horizontal="center" vertical="center"/>
    </xf>
    <xf numFmtId="0" fontId="15" fillId="0" borderId="0" applyAlignment="1" pivotButton="0" quotePrefix="0" xfId="0">
      <alignment horizontal="center" vertical="center"/>
    </xf>
    <xf numFmtId="167" fontId="10" fillId="0" borderId="11" applyAlignment="1" pivotButton="0" quotePrefix="0" xfId="0">
      <alignment vertical="center"/>
    </xf>
    <xf numFmtId="167" fontId="12" fillId="0" borderId="11" applyAlignment="1" pivotButton="0" quotePrefix="0" xfId="0">
      <alignment horizontal="center" vertical="center"/>
    </xf>
    <xf numFmtId="168" fontId="10" fillId="0" borderId="11" applyAlignment="1" pivotButton="0" quotePrefix="0" xfId="0">
      <alignment horizontal="center" vertical="center"/>
    </xf>
    <xf numFmtId="166" fontId="5" fillId="0" borderId="0" applyAlignment="1" pivotButton="0" quotePrefix="0" xfId="0">
      <alignment horizontal="right" vertical="center"/>
    </xf>
    <xf numFmtId="166" fontId="0" fillId="0" borderId="0" applyAlignment="1" pivotButton="0" quotePrefix="0" xfId="0">
      <alignment vertical="center"/>
    </xf>
    <xf numFmtId="166" fontId="0" fillId="0" borderId="0" pivotButton="0" quotePrefix="0" xfId="0"/>
    <xf numFmtId="49" fontId="10" fillId="24" borderId="0" applyAlignment="1" pivotButton="0" quotePrefix="0" xfId="0">
      <alignment vertical="center"/>
    </xf>
    <xf numFmtId="1" fontId="0" fillId="0" borderId="0" pivotButton="0" quotePrefix="0" xfId="0"/>
    <xf numFmtId="0" fontId="14" fillId="25" borderId="0" applyAlignment="1" pivotButton="0" quotePrefix="0" xfId="0">
      <alignment horizontal="center" shrinkToFit="1"/>
    </xf>
    <xf numFmtId="49" fontId="14" fillId="25" borderId="0" applyAlignment="1" pivotButton="0" quotePrefix="0" xfId="0">
      <alignment horizontal="center" shrinkToFit="1"/>
    </xf>
    <xf numFmtId="164" fontId="14" fillId="25" borderId="0" applyAlignment="1" pivotButton="0" quotePrefix="0" xfId="0">
      <alignment horizontal="center" shrinkToFit="1"/>
    </xf>
    <xf numFmtId="165" fontId="14" fillId="25" borderId="0" applyAlignment="1" pivotButton="0" quotePrefix="0" xfId="0">
      <alignment horizontal="center" shrinkToFit="1"/>
    </xf>
    <xf numFmtId="0" fontId="15" fillId="0" borderId="0" applyAlignment="1" pivotButton="0" quotePrefix="0" xfId="0">
      <alignment horizontal="center" shrinkToFit="1"/>
    </xf>
    <xf numFmtId="0" fontId="0" fillId="0" borderId="0" applyAlignment="1" pivotButton="0" quotePrefix="0" xfId="0">
      <alignment horizontal="right"/>
    </xf>
    <xf numFmtId="0" fontId="13" fillId="0" borderId="12" pivotButton="0" quotePrefix="0" xfId="0"/>
    <xf numFmtId="0" fontId="13" fillId="0" borderId="13" pivotButton="0" quotePrefix="0" xfId="0"/>
    <xf numFmtId="0" fontId="13" fillId="0" borderId="0" pivotButton="0" quotePrefix="0" xfId="0"/>
    <xf numFmtId="0" fontId="13" fillId="0" borderId="14" pivotButton="0" quotePrefix="0" xfId="0"/>
    <xf numFmtId="0" fontId="13" fillId="0" borderId="15" pivotButton="0" quotePrefix="0" xfId="0"/>
    <xf numFmtId="0" fontId="13" fillId="0" borderId="16" pivotButton="0" quotePrefix="0" xfId="0"/>
    <xf numFmtId="0" fontId="13" fillId="0" borderId="17" pivotButton="0" quotePrefix="0" xfId="0"/>
    <xf numFmtId="0" fontId="13" fillId="0" borderId="18" pivotButton="0" quotePrefix="0" xfId="0"/>
    <xf numFmtId="0" fontId="13" fillId="0" borderId="19" pivotButton="0" quotePrefix="0" xfId="0"/>
    <xf numFmtId="30" fontId="13" fillId="0" borderId="0" applyAlignment="1" pivotButton="0" quotePrefix="0" xfId="0">
      <alignment horizontal="left" vertical="top"/>
    </xf>
    <xf numFmtId="0" fontId="13" fillId="0" borderId="0" applyAlignment="1" pivotButton="0" quotePrefix="0" xfId="0">
      <alignment vertical="top"/>
    </xf>
    <xf numFmtId="0" fontId="13" fillId="0" borderId="20" applyAlignment="1" pivotButton="0" quotePrefix="0" xfId="0">
      <alignment vertical="center"/>
    </xf>
    <xf numFmtId="0" fontId="9" fillId="0" borderId="0" applyAlignment="1" pivotButton="0" quotePrefix="0" xfId="0">
      <alignment horizontal="left" vertical="top"/>
    </xf>
    <xf numFmtId="0" fontId="13" fillId="0" borderId="0" applyAlignment="1" pivotButton="0" quotePrefix="0" xfId="0">
      <alignment horizontal="left"/>
    </xf>
    <xf numFmtId="0" fontId="13" fillId="0" borderId="18" applyAlignment="1" pivotButton="0" quotePrefix="0" xfId="0">
      <alignment horizontal="left"/>
    </xf>
    <xf numFmtId="0" fontId="7" fillId="0" borderId="0" applyAlignment="1" pivotButton="0" quotePrefix="0" xfId="0">
      <alignment horizontal="left"/>
    </xf>
    <xf numFmtId="0" fontId="11" fillId="0" borderId="21" applyAlignment="1" pivotButton="0" quotePrefix="0" xfId="0">
      <alignment horizontal="centerContinuous" vertical="center"/>
    </xf>
    <xf numFmtId="0" fontId="11" fillId="0" borderId="22" applyAlignment="1" pivotButton="0" quotePrefix="0" xfId="0">
      <alignment horizontal="centerContinuous" vertical="center"/>
    </xf>
    <xf numFmtId="0" fontId="13" fillId="0" borderId="23" applyAlignment="1" pivotButton="0" quotePrefix="0" xfId="0">
      <alignment vertical="center"/>
    </xf>
    <xf numFmtId="0" fontId="13" fillId="0" borderId="21" applyAlignment="1" pivotButton="0" quotePrefix="0" xfId="0">
      <alignment vertical="center"/>
    </xf>
    <xf numFmtId="0" fontId="13" fillId="0" borderId="21" applyAlignment="1" pivotButton="0" quotePrefix="0" xfId="0">
      <alignment horizontal="left" vertical="center"/>
    </xf>
    <xf numFmtId="0" fontId="13" fillId="0" borderId="0" applyAlignment="1" pivotButton="0" quotePrefix="0" xfId="0">
      <alignment vertical="center"/>
    </xf>
    <xf numFmtId="0" fontId="19" fillId="25" borderId="0" applyAlignment="1" pivotButton="0" quotePrefix="0" xfId="0">
      <alignment horizontal="center" shrinkToFit="1"/>
    </xf>
    <xf numFmtId="0" fontId="20" fillId="0" borderId="13" applyAlignment="1" pivotButton="0" quotePrefix="0" xfId="0">
      <alignment horizontal="center"/>
    </xf>
    <xf numFmtId="0" fontId="20" fillId="0" borderId="13" applyAlignment="1" pivotButton="0" quotePrefix="0" xfId="0">
      <alignment horizontal="right"/>
    </xf>
    <xf numFmtId="1" fontId="20" fillId="0" borderId="13" applyAlignment="1" pivotButton="0" quotePrefix="0" xfId="0">
      <alignment horizontal="center"/>
    </xf>
    <xf numFmtId="164" fontId="20" fillId="0" borderId="13" applyAlignment="1" pivotButton="0" quotePrefix="0" xfId="0">
      <alignment horizontal="center"/>
    </xf>
    <xf numFmtId="0" fontId="20" fillId="0" borderId="13" pivotButton="0" quotePrefix="0" xfId="0"/>
    <xf numFmtId="165" fontId="20" fillId="0" borderId="13" applyAlignment="1" pivotButton="0" quotePrefix="0" xfId="0">
      <alignment horizontal="center"/>
    </xf>
    <xf numFmtId="0" fontId="21" fillId="0" borderId="13" applyAlignment="1" pivotButton="0" quotePrefix="0" xfId="0">
      <alignment horizontal="center"/>
    </xf>
    <xf numFmtId="2" fontId="20" fillId="0" borderId="13" applyAlignment="1" pivotButton="0" quotePrefix="0" xfId="0">
      <alignment horizontal="center"/>
    </xf>
    <xf numFmtId="49" fontId="15" fillId="0" borderId="18" applyAlignment="1" pivotButton="0" quotePrefix="0" xfId="0">
      <alignment horizontal="left"/>
    </xf>
    <xf numFmtId="0" fontId="15" fillId="0" borderId="18" applyAlignment="1" pivotButton="0" quotePrefix="0" xfId="0">
      <alignment horizontal="right"/>
    </xf>
    <xf numFmtId="0" fontId="15" fillId="26" borderId="18" applyAlignment="1" pivotButton="0" quotePrefix="0" xfId="0">
      <alignment horizontal="center"/>
    </xf>
    <xf numFmtId="1" fontId="15" fillId="26" borderId="18" applyAlignment="1" pivotButton="0" quotePrefix="0" xfId="0">
      <alignment horizontal="center"/>
    </xf>
    <xf numFmtId="164" fontId="15" fillId="0" borderId="18" applyAlignment="1" pivotButton="0" quotePrefix="0" xfId="0">
      <alignment horizontal="center"/>
    </xf>
    <xf numFmtId="0" fontId="15" fillId="0" borderId="18" applyAlignment="1" pivotButton="0" quotePrefix="0" xfId="0">
      <alignment horizontal="center"/>
    </xf>
    <xf numFmtId="0" fontId="15" fillId="0" borderId="18" pivotButton="0" quotePrefix="0" xfId="0"/>
    <xf numFmtId="165" fontId="15" fillId="0" borderId="18" applyAlignment="1" pivotButton="0" quotePrefix="0" xfId="0">
      <alignment horizontal="center"/>
    </xf>
    <xf numFmtId="0" fontId="0" fillId="0" borderId="18" applyAlignment="1" pivotButton="0" quotePrefix="0" xfId="0">
      <alignment horizontal="center"/>
    </xf>
    <xf numFmtId="49" fontId="15" fillId="0" borderId="0" applyAlignment="1" pivotButton="0" quotePrefix="0" xfId="0">
      <alignment horizontal="center"/>
    </xf>
    <xf numFmtId="0" fontId="22" fillId="0" borderId="0" pivotButton="0" quotePrefix="0" xfId="0"/>
    <xf numFmtId="0" fontId="10" fillId="0" borderId="0" applyAlignment="1" pivotButton="0" quotePrefix="0" xfId="0">
      <alignment horizontal="right" vertical="center"/>
    </xf>
    <xf numFmtId="0" fontId="22" fillId="0" borderId="0" applyAlignment="1" pivotButton="0" quotePrefix="0" xfId="0">
      <alignment horizontal="right"/>
    </xf>
    <xf numFmtId="166" fontId="10" fillId="0" borderId="0" applyAlignment="1" pivotButton="0" quotePrefix="0" xfId="0">
      <alignment horizontal="right" vertical="center"/>
    </xf>
    <xf numFmtId="3" fontId="10" fillId="0" borderId="0" applyAlignment="1" pivotButton="0" quotePrefix="0" xfId="0">
      <alignment horizontal="right" vertical="center"/>
    </xf>
    <xf numFmtId="0" fontId="12" fillId="0" borderId="0" applyAlignment="1" pivotButton="0" quotePrefix="0" xfId="0">
      <alignment horizontal="right"/>
    </xf>
    <xf numFmtId="0" fontId="11" fillId="0" borderId="24" applyAlignment="1" pivotButton="0" quotePrefix="0" xfId="0">
      <alignment horizontal="centerContinuous" vertical="center"/>
    </xf>
    <xf numFmtId="0" fontId="13" fillId="0" borderId="25" applyAlignment="1" pivotButton="0" quotePrefix="0" xfId="0">
      <alignment vertical="center"/>
    </xf>
    <xf numFmtId="0" fontId="13" fillId="0" borderId="20" pivotButton="0" quotePrefix="0" xfId="0"/>
    <xf numFmtId="0" fontId="13" fillId="0" borderId="26" pivotButton="0" quotePrefix="0" xfId="0"/>
    <xf numFmtId="0" fontId="13" fillId="0" borderId="27" pivotButton="0" quotePrefix="0" xfId="0"/>
    <xf numFmtId="0" fontId="13" fillId="0" borderId="28" pivotButton="0" quotePrefix="0" xfId="0"/>
    <xf numFmtId="0" fontId="13" fillId="0" borderId="29" pivotButton="0" quotePrefix="0" xfId="0"/>
    <xf numFmtId="0" fontId="13" fillId="0" borderId="30" pivotButton="0" quotePrefix="0" xfId="0"/>
    <xf numFmtId="0" fontId="13" fillId="0" borderId="10" pivotButton="0" quotePrefix="0" xfId="0"/>
    <xf numFmtId="0" fontId="13" fillId="0" borderId="10" applyAlignment="1" pivotButton="0" quotePrefix="0" xfId="0">
      <alignment horizontal="left" vertical="center"/>
    </xf>
    <xf numFmtId="0" fontId="13" fillId="0" borderId="10" applyAlignment="1" pivotButton="0" quotePrefix="0" xfId="0">
      <alignment vertical="center"/>
    </xf>
    <xf numFmtId="0" fontId="13" fillId="0" borderId="31" pivotButton="0" quotePrefix="0" xfId="0"/>
    <xf numFmtId="0" fontId="17" fillId="0" borderId="20" pivotButton="0" quotePrefix="0" xfId="0"/>
    <xf numFmtId="0" fontId="17" fillId="0" borderId="0" pivotButton="0" quotePrefix="0" xfId="0"/>
    <xf numFmtId="0" fontId="17" fillId="0" borderId="16" pivotButton="0" quotePrefix="0" xfId="0"/>
    <xf numFmtId="0" fontId="17" fillId="0" borderId="16" applyAlignment="1" pivotButton="0" quotePrefix="0" xfId="0">
      <alignment horizontal="left"/>
    </xf>
    <xf numFmtId="0" fontId="17" fillId="0" borderId="32" pivotButton="0" quotePrefix="0" xfId="0"/>
    <xf numFmtId="0" fontId="17" fillId="0" borderId="32" applyAlignment="1" pivotButton="0" quotePrefix="0" xfId="0">
      <alignment horizontal="left"/>
    </xf>
    <xf numFmtId="0" fontId="17" fillId="0" borderId="26" pivotButton="0" quotePrefix="0" xfId="0"/>
    <xf numFmtId="0" fontId="17" fillId="0" borderId="15" pivotButton="0" quotePrefix="0" xfId="0"/>
    <xf numFmtId="0" fontId="17" fillId="0" borderId="15" applyAlignment="1" pivotButton="0" quotePrefix="0" xfId="0">
      <alignment horizontal="left"/>
    </xf>
    <xf numFmtId="0" fontId="17" fillId="0" borderId="33" pivotButton="0" quotePrefix="0" xfId="0"/>
    <xf numFmtId="0" fontId="17" fillId="0" borderId="33" applyAlignment="1" pivotButton="0" quotePrefix="0" xfId="0">
      <alignment shrinkToFit="1"/>
    </xf>
    <xf numFmtId="0" fontId="17" fillId="0" borderId="33" applyAlignment="1" pivotButton="0" quotePrefix="0" xfId="0">
      <alignment horizontal="center"/>
    </xf>
    <xf numFmtId="0" fontId="17" fillId="0" borderId="12" pivotButton="0" quotePrefix="0" xfId="0"/>
    <xf numFmtId="0" fontId="17" fillId="0" borderId="14" pivotButton="0" quotePrefix="0" xfId="0"/>
    <xf numFmtId="0" fontId="10" fillId="0" borderId="0" applyAlignment="1" pivotButton="0" quotePrefix="0" xfId="0">
      <alignment horizontal="center" vertical="center"/>
    </xf>
    <xf numFmtId="0" fontId="23" fillId="0" borderId="0" applyAlignment="1" pivotButton="0" quotePrefix="0" xfId="0">
      <alignment vertical="center"/>
    </xf>
    <xf numFmtId="3" fontId="23" fillId="0" borderId="0" applyAlignment="1" pivotButton="0" quotePrefix="0" xfId="0">
      <alignment horizontal="right" vertical="center"/>
    </xf>
    <xf numFmtId="165" fontId="23" fillId="0" borderId="0" applyAlignment="1" pivotButton="0" quotePrefix="0" xfId="0">
      <alignment horizontal="right" vertical="center"/>
    </xf>
    <xf numFmtId="49" fontId="23" fillId="0" borderId="0" applyAlignment="1" pivotButton="0" quotePrefix="0" xfId="0">
      <alignment vertical="center"/>
    </xf>
    <xf numFmtId="0" fontId="23" fillId="0" borderId="0" applyAlignment="1" pivotButton="0" quotePrefix="0" xfId="0">
      <alignment horizontal="center" vertical="center"/>
    </xf>
    <xf numFmtId="165" fontId="22" fillId="0" borderId="0" pivotButton="0" quotePrefix="0" xfId="0"/>
    <xf numFmtId="169" fontId="15" fillId="0" borderId="0" applyAlignment="1" pivotButton="0" quotePrefix="0" xfId="0">
      <alignment horizontal="center"/>
    </xf>
    <xf numFmtId="170" fontId="10" fillId="0" borderId="0" applyAlignment="1" pivotButton="0" quotePrefix="0" xfId="0">
      <alignment horizontal="center" vertical="center"/>
    </xf>
    <xf numFmtId="166" fontId="10" fillId="0" borderId="0" applyAlignment="1" pivotButton="0" quotePrefix="0" xfId="0">
      <alignment horizontal="center" vertical="center"/>
    </xf>
    <xf numFmtId="0" fontId="12" fillId="0" borderId="0" applyAlignment="1" pivotButton="0" quotePrefix="0" xfId="0">
      <alignment horizontal="center"/>
    </xf>
    <xf numFmtId="0" fontId="22" fillId="0" borderId="0" applyAlignment="1" pivotButton="0" quotePrefix="0" xfId="0">
      <alignment horizontal="center"/>
    </xf>
    <xf numFmtId="166" fontId="10" fillId="0" borderId="0" applyAlignment="1" pivotButton="0" quotePrefix="0" xfId="0">
      <alignment horizontal="center"/>
    </xf>
    <xf numFmtId="3" fontId="10" fillId="0" borderId="0" applyAlignment="1" pivotButton="0" quotePrefix="0" xfId="0">
      <alignment horizontal="center"/>
    </xf>
    <xf numFmtId="0" fontId="11" fillId="0" borderId="21" applyAlignment="1" pivotButton="0" quotePrefix="0" xfId="0">
      <alignment vertical="center"/>
    </xf>
    <xf numFmtId="49" fontId="8" fillId="0" borderId="0" applyAlignment="1" pivotButton="0" quotePrefix="0" xfId="0">
      <alignment horizontal="left" vertical="center"/>
    </xf>
    <xf numFmtId="167" fontId="8" fillId="0" borderId="0" applyAlignment="1" pivotButton="0" quotePrefix="0" xfId="0">
      <alignment vertical="center"/>
    </xf>
    <xf numFmtId="166" fontId="8" fillId="0" borderId="0" applyAlignment="1" pivotButton="0" quotePrefix="0" xfId="0">
      <alignment vertical="center"/>
    </xf>
    <xf numFmtId="0" fontId="8" fillId="0" borderId="0" applyAlignment="1" pivotButton="0" quotePrefix="0" xfId="0">
      <alignment horizontal="center" vertical="center"/>
    </xf>
    <xf numFmtId="171" fontId="8" fillId="0" borderId="0" applyAlignment="1" pivotButton="0" quotePrefix="0" xfId="0">
      <alignment vertical="center"/>
    </xf>
    <xf numFmtId="172" fontId="8" fillId="0" borderId="0" applyAlignment="1" pivotButton="0" quotePrefix="0" xfId="0">
      <alignment vertical="center"/>
    </xf>
    <xf numFmtId="0" fontId="24" fillId="0" borderId="0" pivotButton="0" quotePrefix="0" xfId="0"/>
    <xf numFmtId="167" fontId="8" fillId="0" borderId="0" applyAlignment="1" pivotButton="0" quotePrefix="0" xfId="0">
      <alignment horizontal="right" vertical="center"/>
    </xf>
    <xf numFmtId="170" fontId="8" fillId="0" borderId="0" applyAlignment="1" pivotButton="0" quotePrefix="0" xfId="0">
      <alignment vertical="center"/>
    </xf>
    <xf numFmtId="173" fontId="8" fillId="0" borderId="0" applyAlignment="1" pivotButton="0" quotePrefix="0" xfId="0">
      <alignment horizontal="right" vertical="center"/>
    </xf>
    <xf numFmtId="0" fontId="8" fillId="0" borderId="0" applyAlignment="1" pivotButton="0" quotePrefix="0" xfId="0">
      <alignment horizontal="center"/>
    </xf>
    <xf numFmtId="167" fontId="8" fillId="0" borderId="0" applyAlignment="1" pivotButton="0" quotePrefix="0" xfId="0">
      <alignment horizontal="center"/>
    </xf>
    <xf numFmtId="0" fontId="25" fillId="0" borderId="0" applyAlignment="1" pivotButton="0" quotePrefix="0" xfId="0">
      <alignment horizontal="center"/>
    </xf>
    <xf numFmtId="49" fontId="26" fillId="27" borderId="0" applyAlignment="1" pivotButton="0" quotePrefix="0" xfId="0">
      <alignment horizontal="left"/>
    </xf>
    <xf numFmtId="0" fontId="26" fillId="27" borderId="0" applyAlignment="1" pivotButton="0" quotePrefix="0" xfId="0">
      <alignment horizontal="right"/>
    </xf>
    <xf numFmtId="0" fontId="26" fillId="27" borderId="0" applyAlignment="1" pivotButton="0" quotePrefix="0" xfId="0">
      <alignment horizontal="center"/>
    </xf>
    <xf numFmtId="1" fontId="26" fillId="27" borderId="0" applyAlignment="1" pivotButton="0" quotePrefix="0" xfId="0">
      <alignment horizontal="center"/>
    </xf>
    <xf numFmtId="164" fontId="26" fillId="27" borderId="0" applyAlignment="1" pivotButton="0" quotePrefix="0" xfId="0">
      <alignment horizontal="center"/>
    </xf>
    <xf numFmtId="174" fontId="26" fillId="24" borderId="0" applyAlignment="1" pivotButton="0" quotePrefix="0" xfId="0">
      <alignment horizontal="right"/>
    </xf>
    <xf numFmtId="0" fontId="26" fillId="28" borderId="0" applyAlignment="1" pivotButton="0" quotePrefix="0" xfId="0">
      <alignment horizontal="center"/>
    </xf>
    <xf numFmtId="175" fontId="8" fillId="0" borderId="0" applyAlignment="1" pivotButton="0" quotePrefix="0" xfId="0">
      <alignment horizontal="right" vertical="center"/>
    </xf>
    <xf numFmtId="176" fontId="26" fillId="27" borderId="0" applyAlignment="1" pivotButton="0" quotePrefix="0" xfId="0">
      <alignment horizontal="center"/>
    </xf>
    <xf numFmtId="0" fontId="8" fillId="0" borderId="0" applyAlignment="1" pivotButton="0" quotePrefix="0" xfId="0">
      <alignment vertical="center"/>
    </xf>
    <xf numFmtId="0" fontId="8" fillId="0" borderId="0" applyAlignment="1" pivotButton="0" quotePrefix="0" xfId="0">
      <alignment horizontal="right" vertical="center"/>
    </xf>
    <xf numFmtId="0" fontId="27" fillId="0" borderId="0" applyAlignment="1" pivotButton="0" quotePrefix="0" xfId="50">
      <alignment vertical="center"/>
    </xf>
    <xf numFmtId="0" fontId="49" fillId="0" borderId="34" applyAlignment="1" pivotButton="0" quotePrefix="0" xfId="50">
      <alignment horizontal="center" vertical="center" wrapText="1"/>
    </xf>
    <xf numFmtId="0" fontId="49" fillId="0" borderId="35" applyAlignment="1" pivotButton="0" quotePrefix="0" xfId="50">
      <alignment horizontal="center" vertical="center" wrapText="1"/>
    </xf>
    <xf numFmtId="0" fontId="49" fillId="0" borderId="36" applyAlignment="1" pivotButton="0" quotePrefix="0" xfId="50">
      <alignment horizontal="center" vertical="center" wrapText="1"/>
    </xf>
    <xf numFmtId="0" fontId="49" fillId="0" borderId="37" applyAlignment="1" pivotButton="0" quotePrefix="0" xfId="50">
      <alignment horizontal="center" vertical="center" wrapText="1"/>
    </xf>
    <xf numFmtId="0" fontId="49" fillId="0" borderId="38" applyAlignment="1" pivotButton="0" quotePrefix="0" xfId="50">
      <alignment horizontal="center" vertical="center" wrapText="1"/>
    </xf>
    <xf numFmtId="0" fontId="49" fillId="0" borderId="39" applyAlignment="1" pivotButton="0" quotePrefix="0" xfId="50">
      <alignment horizontal="center" vertical="center" wrapText="1"/>
    </xf>
    <xf numFmtId="0" fontId="49" fillId="0" borderId="40" applyAlignment="1" pivotButton="0" quotePrefix="0" xfId="50">
      <alignment horizontal="center" vertical="center" wrapText="1"/>
    </xf>
    <xf numFmtId="0" fontId="49" fillId="0" borderId="41" applyAlignment="1" pivotButton="0" quotePrefix="0" xfId="50">
      <alignment horizontal="center" vertical="center" wrapText="1"/>
    </xf>
    <xf numFmtId="0" fontId="50" fillId="0" borderId="42" applyAlignment="1" pivotButton="0" quotePrefix="0" xfId="50">
      <alignment horizontal="justify" vertical="center" wrapText="1"/>
    </xf>
    <xf numFmtId="0" fontId="50" fillId="0" borderId="43" applyAlignment="1" pivotButton="0" quotePrefix="0" xfId="50">
      <alignment vertical="center"/>
    </xf>
    <xf numFmtId="0" fontId="50" fillId="0" borderId="44" applyAlignment="1" pivotButton="0" quotePrefix="0" xfId="50">
      <alignment vertical="center" wrapText="1"/>
    </xf>
    <xf numFmtId="0" fontId="50" fillId="0" borderId="45" applyAlignment="1" pivotButton="0" quotePrefix="0" xfId="50">
      <alignment vertical="center" wrapText="1"/>
    </xf>
    <xf numFmtId="0" fontId="50" fillId="0" borderId="46" applyAlignment="1" pivotButton="0" quotePrefix="0" xfId="50">
      <alignment horizontal="center" vertical="center" wrapText="1"/>
    </xf>
    <xf numFmtId="0" fontId="50" fillId="0" borderId="47" applyAlignment="1" pivotButton="0" quotePrefix="0" xfId="50">
      <alignment horizontal="justify" vertical="center" wrapText="1"/>
    </xf>
    <xf numFmtId="0" fontId="50" fillId="0" borderId="48" applyAlignment="1" pivotButton="0" quotePrefix="0" xfId="50">
      <alignment horizontal="justify" vertical="center" wrapText="1"/>
    </xf>
    <xf numFmtId="0" fontId="50" fillId="0" borderId="49" applyAlignment="1" pivotButton="0" quotePrefix="0" xfId="50">
      <alignment vertical="center"/>
    </xf>
    <xf numFmtId="0" fontId="50" fillId="0" borderId="0" applyAlignment="1" pivotButton="0" quotePrefix="0" xfId="50">
      <alignment vertical="center" wrapText="1"/>
    </xf>
    <xf numFmtId="0" fontId="50" fillId="0" borderId="50" applyAlignment="1" pivotButton="0" quotePrefix="0" xfId="50">
      <alignment vertical="center" wrapText="1"/>
    </xf>
    <xf numFmtId="0" fontId="50" fillId="0" borderId="51" applyAlignment="1" pivotButton="0" quotePrefix="0" xfId="50">
      <alignment horizontal="center" vertical="center" wrapText="1"/>
    </xf>
    <xf numFmtId="0" fontId="50" fillId="0" borderId="52" applyAlignment="1" pivotButton="0" quotePrefix="0" xfId="50">
      <alignment horizontal="justify" vertical="center" wrapText="1"/>
    </xf>
    <xf numFmtId="0" fontId="50" fillId="0" borderId="53" applyAlignment="1" pivotButton="0" quotePrefix="0" xfId="50">
      <alignment vertical="center" wrapText="1"/>
    </xf>
    <xf numFmtId="0" fontId="54" fillId="0" borderId="0" applyAlignment="1" pivotButton="0" quotePrefix="0" xfId="50">
      <alignment horizontal="center" vertical="center"/>
    </xf>
    <xf numFmtId="0" fontId="50" fillId="0" borderId="0" applyAlignment="1" pivotButton="0" quotePrefix="0" xfId="50">
      <alignment horizontal="justify" vertical="center"/>
    </xf>
    <xf numFmtId="0" fontId="15" fillId="0" borderId="11" pivotButton="0" quotePrefix="0" xfId="0"/>
    <xf numFmtId="0" fontId="0" fillId="0" borderId="11" applyAlignment="1" pivotButton="0" quotePrefix="0" xfId="0">
      <alignment horizontal="center"/>
    </xf>
    <xf numFmtId="0" fontId="15" fillId="0" borderId="11" applyAlignment="1" pivotButton="0" quotePrefix="0" xfId="0">
      <alignment vertical="center"/>
    </xf>
    <xf numFmtId="0" fontId="8" fillId="0" borderId="0" applyAlignment="1" pivotButton="0" quotePrefix="0" xfId="0">
      <alignment horizontal="centerContinuous"/>
    </xf>
    <xf numFmtId="0" fontId="1" fillId="0" borderId="0" applyAlignment="1" pivotButton="0" quotePrefix="0" xfId="0">
      <alignment horizontal="centerContinuous"/>
    </xf>
    <xf numFmtId="0" fontId="56" fillId="0" borderId="0" applyAlignment="1" pivotButton="0" quotePrefix="0" xfId="0">
      <alignment vertical="center"/>
    </xf>
    <xf numFmtId="0" fontId="17" fillId="0" borderId="0" applyAlignment="1" pivotButton="0" quotePrefix="0" xfId="0">
      <alignment vertical="center"/>
    </xf>
    <xf numFmtId="177" fontId="8" fillId="0" borderId="0" applyAlignment="1" pivotButton="0" quotePrefix="0" xfId="0">
      <alignment vertical="center"/>
    </xf>
    <xf numFmtId="0" fontId="8" fillId="0" borderId="10" applyAlignment="1" pivotButton="0" quotePrefix="0" xfId="0">
      <alignment vertical="center"/>
    </xf>
    <xf numFmtId="0" fontId="8" fillId="0" borderId="26" applyAlignment="1" pivotButton="0" quotePrefix="0" xfId="0">
      <alignment vertical="center"/>
    </xf>
    <xf numFmtId="0" fontId="8" fillId="0" borderId="27" applyAlignment="1" pivotButton="0" quotePrefix="0" xfId="0">
      <alignment vertical="center"/>
    </xf>
    <xf numFmtId="0" fontId="8" fillId="0" borderId="13" applyAlignment="1" pivotButton="0" quotePrefix="0" xfId="0">
      <alignment vertical="center"/>
    </xf>
    <xf numFmtId="0" fontId="17" fillId="0" borderId="13" applyAlignment="1" pivotButton="0" quotePrefix="0" xfId="0">
      <alignment vertical="center"/>
    </xf>
    <xf numFmtId="0" fontId="8" fillId="0" borderId="54" applyAlignment="1" pivotButton="0" quotePrefix="0" xfId="0">
      <alignment vertical="center"/>
    </xf>
    <xf numFmtId="0" fontId="10" fillId="0" borderId="20" applyAlignment="1" pivotButton="0" quotePrefix="0" xfId="0">
      <alignment vertical="center"/>
    </xf>
    <xf numFmtId="0" fontId="8" fillId="0" borderId="0" pivotButton="0" quotePrefix="0" xfId="0"/>
    <xf numFmtId="0" fontId="13" fillId="0" borderId="0" applyAlignment="1" pivotButton="0" quotePrefix="0" xfId="0">
      <alignment horizontal="left" vertical="top"/>
    </xf>
    <xf numFmtId="0" fontId="10" fillId="0" borderId="0" pivotButton="0" quotePrefix="0" xfId="0"/>
    <xf numFmtId="0" fontId="8" fillId="0" borderId="26" pivotButton="0" quotePrefix="0" xfId="0"/>
    <xf numFmtId="0" fontId="8" fillId="0" borderId="20" pivotButton="0" quotePrefix="0" xfId="0"/>
    <xf numFmtId="0" fontId="1" fillId="0" borderId="11" applyAlignment="1" pivotButton="0" quotePrefix="0" xfId="0">
      <alignment horizontal="center"/>
    </xf>
    <xf numFmtId="0" fontId="8" fillId="0" borderId="30" pivotButton="0" quotePrefix="0" xfId="0"/>
    <xf numFmtId="0" fontId="8" fillId="0" borderId="10" pivotButton="0" quotePrefix="0" xfId="0"/>
    <xf numFmtId="0" fontId="8" fillId="0" borderId="31" pivotButton="0" quotePrefix="0" xfId="0"/>
    <xf numFmtId="0" fontId="57" fillId="0" borderId="0" applyAlignment="1" pivotButton="0" quotePrefix="0" xfId="0">
      <alignment vertical="center"/>
    </xf>
    <xf numFmtId="49" fontId="13" fillId="0" borderId="0" applyAlignment="1" pivotButton="0" quotePrefix="0" xfId="0">
      <alignment horizontal="left" vertical="center"/>
    </xf>
    <xf numFmtId="0" fontId="13" fillId="0" borderId="0" applyAlignment="1" pivotButton="0" quotePrefix="0" xfId="0">
      <alignment horizontal="left" vertical="center"/>
    </xf>
    <xf numFmtId="178" fontId="13" fillId="0" borderId="0" applyAlignment="1" pivotButton="0" quotePrefix="0" xfId="0">
      <alignment horizontal="left" vertical="center"/>
    </xf>
    <xf numFmtId="0" fontId="17" fillId="0" borderId="11" applyAlignment="1" pivotButton="0" quotePrefix="0" xfId="0">
      <alignment vertical="center"/>
    </xf>
    <xf numFmtId="0" fontId="8" fillId="0" borderId="11" applyAlignment="1" pivotButton="0" quotePrefix="0" xfId="0">
      <alignment vertical="center"/>
    </xf>
    <xf numFmtId="0" fontId="1" fillId="0" borderId="11" applyAlignment="1" pivotButton="0" quotePrefix="0" xfId="0">
      <alignment vertical="center"/>
    </xf>
    <xf numFmtId="0" fontId="10" fillId="0" borderId="55" applyAlignment="1" pivotButton="0" quotePrefix="0" xfId="0">
      <alignment vertical="center"/>
    </xf>
    <xf numFmtId="0" fontId="1" fillId="0" borderId="0" applyAlignment="1" pivotButton="0" quotePrefix="0" xfId="0">
      <alignment horizontal="center"/>
    </xf>
    <xf numFmtId="0" fontId="1" fillId="0" borderId="15" applyAlignment="1" pivotButton="0" quotePrefix="0" xfId="0">
      <alignment horizontal="center"/>
    </xf>
    <xf numFmtId="0" fontId="60" fillId="0" borderId="0" pivotButton="0" quotePrefix="0" xfId="0"/>
    <xf numFmtId="0" fontId="1" fillId="0" borderId="11" applyAlignment="1" pivotButton="0" quotePrefix="0" xfId="0">
      <alignment horizontal="center" vertical="center"/>
    </xf>
    <xf numFmtId="0" fontId="8" fillId="0" borderId="10" applyAlignment="1" pivotButton="0" quotePrefix="0" xfId="0">
      <alignment horizontal="center"/>
    </xf>
    <xf numFmtId="0" fontId="8" fillId="0" borderId="15" applyAlignment="1" pivotButton="0" quotePrefix="0" xfId="0">
      <alignment horizontal="center"/>
    </xf>
    <xf numFmtId="0" fontId="8" fillId="0" borderId="56" applyAlignment="1" pivotButton="0" quotePrefix="0" xfId="0">
      <alignment horizontal="center"/>
    </xf>
    <xf numFmtId="0" fontId="8" fillId="0" borderId="57" applyAlignment="1" pivotButton="0" quotePrefix="0" xfId="0">
      <alignment vertical="center"/>
    </xf>
    <xf numFmtId="0" fontId="17" fillId="0" borderId="57" applyAlignment="1" pivotButton="0" quotePrefix="0" xfId="0">
      <alignment vertical="center"/>
    </xf>
    <xf numFmtId="0" fontId="59" fillId="0" borderId="55" applyAlignment="1" pivotButton="0" quotePrefix="0" xfId="0">
      <alignment horizontal="center" vertical="center"/>
    </xf>
    <xf numFmtId="176" fontId="8" fillId="0" borderId="0" applyAlignment="1" pivotButton="0" quotePrefix="0" xfId="0">
      <alignment horizontal="right" vertical="center"/>
    </xf>
    <xf numFmtId="0" fontId="15" fillId="27" borderId="0" applyAlignment="1" pivotButton="0" quotePrefix="0" xfId="0">
      <alignment horizontal="center" vertical="center"/>
    </xf>
    <xf numFmtId="0" fontId="20" fillId="0" borderId="13" applyAlignment="1" pivotButton="0" quotePrefix="0" xfId="0">
      <alignment horizontal="center" vertical="center"/>
    </xf>
    <xf numFmtId="0" fontId="15" fillId="0" borderId="18" applyAlignment="1" pivotButton="0" quotePrefix="0" xfId="0">
      <alignment horizontal="center" vertical="center"/>
    </xf>
    <xf numFmtId="0" fontId="61" fillId="0" borderId="11" applyAlignment="1" pivotButton="0" quotePrefix="0" xfId="0">
      <alignment vertical="center"/>
    </xf>
    <xf numFmtId="0" fontId="18" fillId="0" borderId="11" applyAlignment="1" pivotButton="0" quotePrefix="0" xfId="0">
      <alignment vertical="center"/>
    </xf>
    <xf numFmtId="179" fontId="61" fillId="0" borderId="11" applyAlignment="1" pivotButton="0" quotePrefix="0" xfId="0">
      <alignment vertical="center"/>
    </xf>
    <xf numFmtId="175" fontId="61" fillId="0" borderId="11" applyAlignment="1" pivotButton="0" quotePrefix="0" xfId="0">
      <alignment vertical="center"/>
    </xf>
    <xf numFmtId="0" fontId="58" fillId="0" borderId="20" applyAlignment="1" pivotButton="0" quotePrefix="0" xfId="0">
      <alignment vertical="center"/>
    </xf>
    <xf numFmtId="0" fontId="59" fillId="0" borderId="0" applyAlignment="1" pivotButton="0" quotePrefix="0" xfId="0">
      <alignment vertical="center"/>
    </xf>
    <xf numFmtId="0" fontId="59" fillId="0" borderId="15" applyAlignment="1" pivotButton="0" quotePrefix="0" xfId="0">
      <alignment vertical="center"/>
    </xf>
    <xf numFmtId="0" fontId="58" fillId="0" borderId="58" applyAlignment="1" pivotButton="0" quotePrefix="0" xfId="0">
      <alignment horizontal="center" vertical="center"/>
    </xf>
    <xf numFmtId="0" fontId="59" fillId="0" borderId="20" applyAlignment="1" pivotButton="0" quotePrefix="0" xfId="0">
      <alignment vertical="center"/>
    </xf>
    <xf numFmtId="180" fontId="59" fillId="0" borderId="0" applyAlignment="1" pivotButton="0" quotePrefix="0" xfId="0">
      <alignment horizontal="center" vertical="center"/>
    </xf>
    <xf numFmtId="0" fontId="59" fillId="0" borderId="26" applyAlignment="1" pivotButton="0" quotePrefix="0" xfId="0">
      <alignment vertical="center"/>
    </xf>
    <xf numFmtId="180" fontId="59" fillId="0" borderId="18" applyAlignment="1" pivotButton="0" quotePrefix="0" xfId="0">
      <alignment horizontal="center" vertical="center"/>
    </xf>
    <xf numFmtId="0" fontId="59" fillId="0" borderId="18" applyAlignment="1" pivotButton="0" quotePrefix="0" xfId="0">
      <alignment vertical="center"/>
    </xf>
    <xf numFmtId="0" fontId="59" fillId="0" borderId="29" applyAlignment="1" pivotButton="0" quotePrefix="0" xfId="0">
      <alignment vertical="center"/>
    </xf>
    <xf numFmtId="0" fontId="62" fillId="0" borderId="0" applyAlignment="1" pivotButton="0" quotePrefix="0" xfId="0">
      <alignment horizontal="centerContinuous" vertical="top"/>
    </xf>
    <xf numFmtId="0" fontId="13" fillId="0" borderId="13" applyAlignment="1" pivotButton="0" quotePrefix="0" xfId="0">
      <alignment horizontal="left"/>
    </xf>
    <xf numFmtId="0" fontId="13" fillId="0" borderId="54" pivotButton="0" quotePrefix="0" xfId="0"/>
    <xf numFmtId="0" fontId="18" fillId="0" borderId="0" applyAlignment="1" pivotButton="0" quotePrefix="1" xfId="0">
      <alignment vertical="center"/>
    </xf>
    <xf numFmtId="0" fontId="18" fillId="0" borderId="18" pivotButton="0" quotePrefix="1" xfId="0"/>
    <xf numFmtId="0" fontId="8" fillId="0" borderId="18" pivotButton="0" quotePrefix="0" xfId="0"/>
    <xf numFmtId="0" fontId="61" fillId="0" borderId="20" applyAlignment="1" pivotButton="0" quotePrefix="0" xfId="0">
      <alignment vertical="center"/>
    </xf>
    <xf numFmtId="0" fontId="61" fillId="0" borderId="0" pivotButton="0" quotePrefix="0" xfId="0"/>
    <xf numFmtId="0" fontId="64" fillId="0" borderId="0" pivotButton="0" quotePrefix="0" xfId="0"/>
    <xf numFmtId="0" fontId="61" fillId="0" borderId="26" pivotButton="0" quotePrefix="0" xfId="0"/>
    <xf numFmtId="0" fontId="65" fillId="0" borderId="0" pivotButton="0" quotePrefix="0" xfId="0"/>
    <xf numFmtId="176" fontId="67" fillId="27" borderId="0" applyAlignment="1" pivotButton="0" quotePrefix="0" xfId="0">
      <alignment horizontal="center"/>
    </xf>
    <xf numFmtId="0" fontId="67" fillId="29" borderId="0" applyAlignment="1" pivotButton="0" quotePrefix="0" xfId="0">
      <alignment horizontal="center"/>
    </xf>
    <xf numFmtId="0" fontId="5" fillId="0" borderId="0" applyAlignment="1" pivotButton="0" quotePrefix="0" xfId="0">
      <alignment vertical="center"/>
    </xf>
    <xf numFmtId="9" fontId="18" fillId="0" borderId="59" applyAlignment="1" pivotButton="0" quotePrefix="0" xfId="0">
      <alignment horizontal="center" vertical="center"/>
    </xf>
    <xf numFmtId="9" fontId="18" fillId="0" borderId="60" applyAlignment="1" pivotButton="0" quotePrefix="0" xfId="0">
      <alignment horizontal="center" vertical="center"/>
    </xf>
    <xf numFmtId="9" fontId="18" fillId="0" borderId="58" applyAlignment="1" pivotButton="0" quotePrefix="0" xfId="0">
      <alignment horizontal="center" vertical="center"/>
    </xf>
    <xf numFmtId="0" fontId="17" fillId="0" borderId="14" applyAlignment="1" pivotButton="0" quotePrefix="0" xfId="0">
      <alignment horizontal="center"/>
    </xf>
    <xf numFmtId="0" fontId="17" fillId="0" borderId="15" applyAlignment="1" pivotButton="0" quotePrefix="0" xfId="0">
      <alignment horizontal="center"/>
    </xf>
    <xf numFmtId="179" fontId="13" fillId="0" borderId="14" applyAlignment="1" pivotButton="0" quotePrefix="0" xfId="0">
      <alignment horizontal="center"/>
    </xf>
    <xf numFmtId="179" fontId="13" fillId="0" borderId="0" applyAlignment="1" pivotButton="0" quotePrefix="0" xfId="0">
      <alignment horizontal="center"/>
    </xf>
    <xf numFmtId="179" fontId="13" fillId="0" borderId="15" applyAlignment="1" pivotButton="0" quotePrefix="0" xfId="0">
      <alignment horizontal="center"/>
    </xf>
    <xf numFmtId="0" fontId="13" fillId="0" borderId="14" applyAlignment="1" pivotButton="0" quotePrefix="0" xfId="0">
      <alignment horizontal="center"/>
    </xf>
    <xf numFmtId="0" fontId="13" fillId="0" borderId="0" applyAlignment="1" pivotButton="0" quotePrefix="0" xfId="0">
      <alignment horizontal="center"/>
    </xf>
    <xf numFmtId="0" fontId="13" fillId="0" borderId="15" applyAlignment="1" pivotButton="0" quotePrefix="0" xfId="0">
      <alignment horizontal="center"/>
    </xf>
    <xf numFmtId="0" fontId="13" fillId="0" borderId="17" applyAlignment="1" pivotButton="0" quotePrefix="0" xfId="0">
      <alignment horizontal="center"/>
    </xf>
    <xf numFmtId="0" fontId="13" fillId="0" borderId="18" applyAlignment="1" pivotButton="0" quotePrefix="0" xfId="0">
      <alignment horizontal="center"/>
    </xf>
    <xf numFmtId="0" fontId="13" fillId="0" borderId="19" applyAlignment="1" pivotButton="0" quotePrefix="0" xfId="0">
      <alignment horizontal="center"/>
    </xf>
    <xf numFmtId="179" fontId="8" fillId="0" borderId="21" applyAlignment="1" pivotButton="0" quotePrefix="0" xfId="0">
      <alignment horizontal="center" vertical="center"/>
    </xf>
    <xf numFmtId="177" fontId="66" fillId="0" borderId="20" applyAlignment="1" pivotButton="0" quotePrefix="0" xfId="0">
      <alignment horizontal="center" wrapText="1" shrinkToFit="1"/>
    </xf>
    <xf numFmtId="177" fontId="66" fillId="0" borderId="0" applyAlignment="1" pivotButton="0" quotePrefix="0" xfId="0">
      <alignment horizontal="center" wrapText="1" shrinkToFit="1"/>
    </xf>
    <xf numFmtId="177" fontId="66" fillId="0" borderId="15" applyAlignment="1" pivotButton="0" quotePrefix="0" xfId="0">
      <alignment horizontal="center" wrapText="1" shrinkToFit="1"/>
    </xf>
    <xf numFmtId="177" fontId="66" fillId="0" borderId="28" applyAlignment="1" pivotButton="0" quotePrefix="0" xfId="0">
      <alignment horizontal="center" wrapText="1" shrinkToFit="1"/>
    </xf>
    <xf numFmtId="177" fontId="66" fillId="0" borderId="18" applyAlignment="1" pivotButton="0" quotePrefix="0" xfId="0">
      <alignment horizontal="center" wrapText="1" shrinkToFit="1"/>
    </xf>
    <xf numFmtId="177" fontId="66" fillId="0" borderId="19" applyAlignment="1" pivotButton="0" quotePrefix="0" xfId="0">
      <alignment horizontal="center" wrapText="1" shrinkToFit="1"/>
    </xf>
    <xf numFmtId="0" fontId="13" fillId="0" borderId="20" applyAlignment="1" pivotButton="0" quotePrefix="0" xfId="0">
      <alignment horizontal="center"/>
    </xf>
    <xf numFmtId="0" fontId="57" fillId="0" borderId="0" applyAlignment="1" pivotButton="0" quotePrefix="1" xfId="0">
      <alignment horizontal="center" vertical="center"/>
    </xf>
    <xf numFmtId="20" fontId="59" fillId="0" borderId="54" applyAlignment="1" pivotButton="0" quotePrefix="0" xfId="0">
      <alignment horizontal="center" vertical="center"/>
    </xf>
    <xf numFmtId="0" fontId="59" fillId="0" borderId="29" applyAlignment="1" pivotButton="0" quotePrefix="0" xfId="0">
      <alignment horizontal="center" vertical="center"/>
    </xf>
    <xf numFmtId="0" fontId="1" fillId="0" borderId="61" applyAlignment="1" pivotButton="0" quotePrefix="0" xfId="0">
      <alignment horizontal="center" vertical="center"/>
    </xf>
    <xf numFmtId="0" fontId="1" fillId="0" borderId="62" applyAlignment="1" pivotButton="0" quotePrefix="0" xfId="0">
      <alignment horizontal="center" vertical="center"/>
    </xf>
    <xf numFmtId="0" fontId="58" fillId="0" borderId="32" applyAlignment="1" pivotButton="0" quotePrefix="0" xfId="0">
      <alignment horizontal="center" vertical="center"/>
    </xf>
    <xf numFmtId="0" fontId="59" fillId="0" borderId="33" applyAlignment="1" pivotButton="0" quotePrefix="0" xfId="0">
      <alignment horizontal="center" vertical="center"/>
    </xf>
    <xf numFmtId="0" fontId="59" fillId="0" borderId="63" applyAlignment="1" pivotButton="0" quotePrefix="0" xfId="0">
      <alignment horizontal="center" vertical="center"/>
    </xf>
    <xf numFmtId="0" fontId="1" fillId="0" borderId="55" applyAlignment="1" pivotButton="0" quotePrefix="0" xfId="0">
      <alignment horizontal="center" vertical="center"/>
    </xf>
    <xf numFmtId="0" fontId="8" fillId="0" borderId="11" applyAlignment="1" pivotButton="0" quotePrefix="0" xfId="0">
      <alignment horizontal="center" vertical="center"/>
    </xf>
    <xf numFmtId="0" fontId="1" fillId="0" borderId="11" applyAlignment="1" pivotButton="0" quotePrefix="0" xfId="0">
      <alignment horizontal="center" vertical="center"/>
    </xf>
    <xf numFmtId="0" fontId="1" fillId="0" borderId="32" applyAlignment="1" pivotButton="0" quotePrefix="0" xfId="0">
      <alignment horizontal="center" vertical="center"/>
    </xf>
    <xf numFmtId="0" fontId="1" fillId="0" borderId="64" applyAlignment="1" pivotButton="0" quotePrefix="0" xfId="0">
      <alignment horizontal="center" vertical="center"/>
    </xf>
    <xf numFmtId="0" fontId="59" fillId="0" borderId="20" applyAlignment="1" pivotButton="0" quotePrefix="0" xfId="0">
      <alignment horizontal="center" vertical="center"/>
    </xf>
    <xf numFmtId="0" fontId="59" fillId="0" borderId="0" applyAlignment="1" pivotButton="0" quotePrefix="0" xfId="0">
      <alignment horizontal="center" vertical="center"/>
    </xf>
    <xf numFmtId="0" fontId="8" fillId="0" borderId="0" applyAlignment="1" pivotButton="0" quotePrefix="0" xfId="0">
      <alignment horizontal="center"/>
    </xf>
    <xf numFmtId="0" fontId="8" fillId="0" borderId="10" applyAlignment="1" pivotButton="0" quotePrefix="0" xfId="0">
      <alignment horizontal="center"/>
    </xf>
    <xf numFmtId="0" fontId="58" fillId="0" borderId="65" applyAlignment="1" pivotButton="0" quotePrefix="0" xfId="0">
      <alignment horizontal="center" vertical="center"/>
    </xf>
    <xf numFmtId="0" fontId="58" fillId="0" borderId="66" applyAlignment="1" pivotButton="0" quotePrefix="0" xfId="0">
      <alignment horizontal="center" vertical="center"/>
    </xf>
    <xf numFmtId="180" fontId="59" fillId="0" borderId="12" applyAlignment="1" pivotButton="0" quotePrefix="0" xfId="0">
      <alignment horizontal="center" vertical="center"/>
    </xf>
    <xf numFmtId="180" fontId="59" fillId="0" borderId="16" applyAlignment="1" pivotButton="0" quotePrefix="0" xfId="0">
      <alignment horizontal="center" vertical="center"/>
    </xf>
    <xf numFmtId="180" fontId="59" fillId="0" borderId="17" applyAlignment="1" pivotButton="0" quotePrefix="0" xfId="0">
      <alignment horizontal="center" vertical="center"/>
    </xf>
    <xf numFmtId="180" fontId="59" fillId="0" borderId="19" applyAlignment="1" pivotButton="0" quotePrefix="0" xfId="0">
      <alignment horizontal="center" vertical="center"/>
    </xf>
    <xf numFmtId="180" fontId="58" fillId="0" borderId="12" applyAlignment="1" pivotButton="0" quotePrefix="0" xfId="0">
      <alignment horizontal="center" vertical="center"/>
    </xf>
    <xf numFmtId="180" fontId="58" fillId="0" borderId="13" applyAlignment="1" pivotButton="0" quotePrefix="0" xfId="0">
      <alignment horizontal="center" vertical="center"/>
    </xf>
    <xf numFmtId="180" fontId="59" fillId="0" borderId="14" applyAlignment="1" pivotButton="0" quotePrefix="0" xfId="0">
      <alignment horizontal="center" vertical="center"/>
    </xf>
    <xf numFmtId="180" fontId="59" fillId="0" borderId="0" applyAlignment="1" pivotButton="0" quotePrefix="0" xfId="0">
      <alignment horizontal="center" vertical="center"/>
    </xf>
    <xf numFmtId="180" fontId="59" fillId="0" borderId="15" applyAlignment="1" pivotButton="0" quotePrefix="0" xfId="0">
      <alignment horizontal="center" vertical="center"/>
    </xf>
    <xf numFmtId="180" fontId="59" fillId="0" borderId="18" applyAlignment="1" pivotButton="0" quotePrefix="0" xfId="0">
      <alignment horizontal="center" vertical="center"/>
    </xf>
    <xf numFmtId="0" fontId="59" fillId="0" borderId="65" applyAlignment="1" pivotButton="0" quotePrefix="0" xfId="0">
      <alignment horizontal="center" vertical="center"/>
    </xf>
    <xf numFmtId="0" fontId="59" fillId="0" borderId="60" applyAlignment="1" pivotButton="0" quotePrefix="0" xfId="0">
      <alignment horizontal="center" vertical="center"/>
    </xf>
    <xf numFmtId="0" fontId="59" fillId="0" borderId="66" applyAlignment="1" pivotButton="0" quotePrefix="0" xfId="0">
      <alignment horizontal="center" vertical="center"/>
    </xf>
    <xf numFmtId="0" fontId="59" fillId="0" borderId="12" applyAlignment="1" pivotButton="0" quotePrefix="0" xfId="0">
      <alignment horizontal="center" vertical="center"/>
    </xf>
    <xf numFmtId="0" fontId="59" fillId="0" borderId="13" applyAlignment="1" pivotButton="0" quotePrefix="0" xfId="0">
      <alignment horizontal="center" vertical="center"/>
    </xf>
    <xf numFmtId="0" fontId="59" fillId="0" borderId="16" applyAlignment="1" pivotButton="0" quotePrefix="0" xfId="0">
      <alignment horizontal="center" vertical="center"/>
    </xf>
    <xf numFmtId="0" fontId="59" fillId="0" borderId="17" applyAlignment="1" pivotButton="0" quotePrefix="0" xfId="0">
      <alignment horizontal="center" vertical="center"/>
    </xf>
    <xf numFmtId="0" fontId="59" fillId="0" borderId="18" applyAlignment="1" pivotButton="0" quotePrefix="0" xfId="0">
      <alignment horizontal="center" vertical="center"/>
    </xf>
    <xf numFmtId="0" fontId="59" fillId="0" borderId="19" applyAlignment="1" pivotButton="0" quotePrefix="0" xfId="0">
      <alignment horizontal="center" vertical="center"/>
    </xf>
    <xf numFmtId="0" fontId="8" fillId="0" borderId="15" applyAlignment="1" pivotButton="0" quotePrefix="0" xfId="0">
      <alignment horizontal="center"/>
    </xf>
    <xf numFmtId="0" fontId="8" fillId="0" borderId="56" applyAlignment="1" pivotButton="0" quotePrefix="0" xfId="0">
      <alignment horizontal="center"/>
    </xf>
    <xf numFmtId="0" fontId="1" fillId="0" borderId="23" applyAlignment="1" pivotButton="0" quotePrefix="0" xfId="0">
      <alignment horizontal="center" vertical="center"/>
    </xf>
    <xf numFmtId="0" fontId="1" fillId="0" borderId="21" applyAlignment="1" pivotButton="0" quotePrefix="0" xfId="0">
      <alignment horizontal="center" vertical="center"/>
    </xf>
    <xf numFmtId="0" fontId="1" fillId="0" borderId="22" applyAlignment="1" pivotButton="0" quotePrefix="0" xfId="0">
      <alignment horizontal="center" vertical="center"/>
    </xf>
    <xf numFmtId="0" fontId="50" fillId="0" borderId="49" applyAlignment="1" pivotButton="0" quotePrefix="0" xfId="50">
      <alignment horizontal="center" vertical="center"/>
    </xf>
    <xf numFmtId="0" fontId="50" fillId="0" borderId="0" applyAlignment="1" pivotButton="0" quotePrefix="0" xfId="50">
      <alignment horizontal="center" vertical="center"/>
    </xf>
    <xf numFmtId="0" fontId="50" fillId="0" borderId="49" applyAlignment="1" pivotButton="0" quotePrefix="0" xfId="50">
      <alignment horizontal="justify" vertical="center" wrapText="1"/>
    </xf>
    <xf numFmtId="0" fontId="50" fillId="0" borderId="50" applyAlignment="1" pivotButton="0" quotePrefix="0" xfId="50">
      <alignment horizontal="justify" vertical="center" wrapText="1"/>
    </xf>
    <xf numFmtId="0" fontId="50" fillId="0" borderId="43" applyAlignment="1" pivotButton="0" quotePrefix="0" xfId="50">
      <alignment horizontal="center" vertical="center"/>
    </xf>
    <xf numFmtId="0" fontId="50" fillId="0" borderId="44" applyAlignment="1" pivotButton="0" quotePrefix="0" xfId="50">
      <alignment horizontal="center" vertical="center"/>
    </xf>
    <xf numFmtId="0" fontId="50" fillId="0" borderId="43" applyAlignment="1" pivotButton="0" quotePrefix="0" xfId="50">
      <alignment horizontal="justify" vertical="center" wrapText="1"/>
    </xf>
    <xf numFmtId="0" fontId="50" fillId="0" borderId="45" applyAlignment="1" pivotButton="0" quotePrefix="0" xfId="50">
      <alignment horizontal="justify" vertical="center" wrapText="1"/>
    </xf>
    <xf numFmtId="0" fontId="46" fillId="0" borderId="0" applyAlignment="1" pivotButton="0" quotePrefix="0" xfId="50">
      <alignment horizontal="left" vertical="center"/>
    </xf>
    <xf numFmtId="0" fontId="47" fillId="0" borderId="0" applyAlignment="1" pivotButton="0" quotePrefix="0" xfId="50">
      <alignment horizontal="center" vertical="center"/>
    </xf>
    <xf numFmtId="0" fontId="49" fillId="0" borderId="67" applyAlignment="1" pivotButton="0" quotePrefix="0" xfId="50">
      <alignment horizontal="center" vertical="center" wrapText="1"/>
    </xf>
    <xf numFmtId="0" fontId="49" fillId="0" borderId="36" applyAlignment="1" pivotButton="0" quotePrefix="0" xfId="50">
      <alignment horizontal="center" vertical="center" wrapText="1"/>
    </xf>
    <xf numFmtId="0" fontId="50" fillId="0" borderId="68" applyAlignment="1" pivotButton="0" quotePrefix="0" xfId="50">
      <alignment horizontal="center" vertical="center" wrapText="1"/>
    </xf>
    <xf numFmtId="0" fontId="50" fillId="0" borderId="69" applyAlignment="1" pivotButton="0" quotePrefix="0" xfId="50">
      <alignment horizontal="center" vertical="center" wrapText="1"/>
    </xf>
    <xf numFmtId="0" fontId="50" fillId="0" borderId="49" applyAlignment="1" pivotButton="0" quotePrefix="0" xfId="50">
      <alignment horizontal="center" vertical="center" wrapText="1"/>
    </xf>
    <xf numFmtId="0" fontId="50" fillId="0" borderId="0" applyAlignment="1" pivotButton="0" quotePrefix="0" xfId="50">
      <alignment horizontal="center" vertical="center" wrapText="1"/>
    </xf>
    <xf numFmtId="0" fontId="49" fillId="0" borderId="35" applyAlignment="1" pivotButton="0" quotePrefix="0" xfId="50">
      <alignment horizontal="center" vertical="center" wrapText="1"/>
    </xf>
    <xf numFmtId="0" fontId="50" fillId="0" borderId="70" applyAlignment="1" pivotButton="0" quotePrefix="0" xfId="50">
      <alignment horizontal="justify" vertical="center" wrapText="1"/>
    </xf>
    <xf numFmtId="0" fontId="50" fillId="0" borderId="0" applyAlignment="1" pivotButton="0" quotePrefix="0" xfId="50">
      <alignment horizontal="justify" vertical="center" wrapText="1"/>
    </xf>
    <xf numFmtId="0" fontId="50" fillId="0" borderId="71" applyAlignment="1" pivotButton="0" quotePrefix="0" xfId="50">
      <alignment horizontal="justify" vertical="center" wrapText="1"/>
    </xf>
    <xf numFmtId="0" fontId="49" fillId="0" borderId="34" applyAlignment="1" pivotButton="0" quotePrefix="0" xfId="50">
      <alignment horizontal="center" vertical="center" wrapText="1"/>
    </xf>
    <xf numFmtId="0" fontId="49" fillId="0" borderId="51" applyAlignment="1" pivotButton="0" quotePrefix="0" xfId="50">
      <alignment horizontal="center" vertical="center" wrapText="1"/>
    </xf>
    <xf numFmtId="0" fontId="50" fillId="0" borderId="72" applyAlignment="1" pivotButton="0" quotePrefix="0" xfId="50">
      <alignment horizontal="justify" vertical="center" wrapText="1"/>
    </xf>
    <xf numFmtId="0" fontId="50" fillId="0" borderId="73" applyAlignment="1" pivotButton="0" quotePrefix="0" xfId="50">
      <alignment horizontal="justify" vertical="center" wrapText="1"/>
    </xf>
    <xf numFmtId="0" fontId="50" fillId="0" borderId="74" applyAlignment="1" pivotButton="0" quotePrefix="0" xfId="50">
      <alignment horizontal="justify" vertical="center" wrapText="1"/>
    </xf>
    <xf numFmtId="0" fontId="50" fillId="0" borderId="75" applyAlignment="1" pivotButton="0" quotePrefix="0" xfId="50">
      <alignment horizontal="center" vertical="center" wrapText="1"/>
    </xf>
    <xf numFmtId="0" fontId="50" fillId="0" borderId="76" applyAlignment="1" pivotButton="0" quotePrefix="0" xfId="50">
      <alignment horizontal="center" vertical="center" wrapText="1"/>
    </xf>
    <xf numFmtId="0" fontId="49" fillId="0" borderId="70" applyAlignment="1" pivotButton="0" quotePrefix="0" xfId="50">
      <alignment horizontal="justify" vertical="center" wrapText="1"/>
    </xf>
    <xf numFmtId="0" fontId="49" fillId="0" borderId="0" applyAlignment="1" pivotButton="0" quotePrefix="0" xfId="50">
      <alignment horizontal="justify" vertical="center" wrapText="1"/>
    </xf>
    <xf numFmtId="0" fontId="49" fillId="0" borderId="71" applyAlignment="1" pivotButton="0" quotePrefix="0" xfId="50">
      <alignment horizontal="justify" vertical="center" wrapText="1"/>
    </xf>
    <xf numFmtId="0" fontId="49" fillId="0" borderId="77" applyAlignment="1" pivotButton="0" quotePrefix="0" xfId="50">
      <alignment horizontal="center" vertical="center" wrapText="1"/>
    </xf>
    <xf numFmtId="0" fontId="49" fillId="0" borderId="78" applyAlignment="1" pivotButton="0" quotePrefix="0" xfId="50">
      <alignment horizontal="center" vertical="center" wrapText="1"/>
    </xf>
    <xf numFmtId="0" fontId="50" fillId="0" borderId="79" applyAlignment="1" pivotButton="0" quotePrefix="0" xfId="50">
      <alignment horizontal="center" vertical="center" wrapText="1"/>
    </xf>
    <xf numFmtId="0" fontId="50" fillId="0" borderId="80" applyAlignment="1" pivotButton="0" quotePrefix="0" xfId="50">
      <alignment horizontal="center" vertical="center" wrapText="1"/>
    </xf>
    <xf numFmtId="0" fontId="50" fillId="0" borderId="81" applyAlignment="1" pivotButton="0" quotePrefix="0" xfId="50">
      <alignment horizontal="center" vertical="center" wrapText="1"/>
    </xf>
    <xf numFmtId="0" fontId="50" fillId="0" borderId="82" applyAlignment="1" pivotButton="0" quotePrefix="0" xfId="50">
      <alignment horizontal="center" vertical="center" wrapText="1"/>
    </xf>
    <xf numFmtId="0" fontId="50" fillId="0" borderId="83" applyAlignment="1" pivotButton="0" quotePrefix="0" xfId="50">
      <alignment horizontal="center" vertical="center" wrapText="1"/>
    </xf>
    <xf numFmtId="0" fontId="51" fillId="0" borderId="84" applyAlignment="1" pivotButton="0" quotePrefix="0" xfId="50">
      <alignment horizontal="center" vertical="center" wrapText="1"/>
    </xf>
    <xf numFmtId="0" fontId="51" fillId="0" borderId="85" applyAlignment="1" pivotButton="0" quotePrefix="0" xfId="50">
      <alignment horizontal="center" vertical="center" wrapText="1"/>
    </xf>
    <xf numFmtId="0" fontId="51" fillId="0" borderId="73" applyAlignment="1" pivotButton="0" quotePrefix="0" xfId="50">
      <alignment horizontal="center" vertical="center" wrapText="1"/>
    </xf>
    <xf numFmtId="0" fontId="51" fillId="0" borderId="86" applyAlignment="1" pivotButton="0" quotePrefix="0" xfId="50">
      <alignment horizontal="center" vertical="center" wrapText="1"/>
    </xf>
    <xf numFmtId="0" fontId="49" fillId="0" borderId="79" applyAlignment="1" pivotButton="0" quotePrefix="0" xfId="50">
      <alignment horizontal="center" vertical="center" wrapText="1"/>
    </xf>
    <xf numFmtId="0" fontId="49" fillId="0" borderId="80" applyAlignment="1" pivotButton="0" quotePrefix="0" xfId="50">
      <alignment horizontal="center" vertical="center" wrapText="1"/>
    </xf>
    <xf numFmtId="0" fontId="49" fillId="0" borderId="87" applyAlignment="1" pivotButton="0" quotePrefix="0" xfId="50">
      <alignment horizontal="center" vertical="center" wrapText="1"/>
    </xf>
    <xf numFmtId="0" fontId="49" fillId="0" borderId="68" applyAlignment="1" pivotButton="0" quotePrefix="0" xfId="50">
      <alignment horizontal="center" vertical="center" wrapText="1"/>
    </xf>
    <xf numFmtId="0" fontId="49" fillId="0" borderId="69" applyAlignment="1" pivotButton="0" quotePrefix="0" xfId="50">
      <alignment horizontal="center" vertical="center" wrapText="1"/>
    </xf>
    <xf numFmtId="0" fontId="49" fillId="0" borderId="88" applyAlignment="1" pivotButton="0" quotePrefix="0" xfId="50">
      <alignment horizontal="center" vertical="center" wrapText="1"/>
    </xf>
    <xf numFmtId="0" fontId="49" fillId="0" borderId="89" applyAlignment="1" pivotButton="0" quotePrefix="0" xfId="50">
      <alignment horizontal="center" vertical="center" wrapText="1"/>
    </xf>
    <xf numFmtId="0" fontId="49" fillId="0" borderId="90" applyAlignment="1" pivotButton="0" quotePrefix="0" xfId="50">
      <alignment horizontal="center" vertical="center" wrapText="1"/>
    </xf>
    <xf numFmtId="0" fontId="49" fillId="0" borderId="50" applyAlignment="1" pivotButton="0" quotePrefix="0" xfId="50">
      <alignment horizontal="center" vertical="center" wrapText="1"/>
    </xf>
    <xf numFmtId="0" fontId="49" fillId="0" borderId="91" applyAlignment="1" pivotButton="0" quotePrefix="0" xfId="50">
      <alignment horizontal="center" vertical="center" wrapText="1"/>
    </xf>
    <xf numFmtId="0" fontId="49" fillId="0" borderId="53" applyAlignment="1" pivotButton="0" quotePrefix="0" xfId="50">
      <alignment horizontal="center" vertical="center" wrapText="1"/>
    </xf>
    <xf numFmtId="0" fontId="50" fillId="0" borderId="92" applyAlignment="1" pivotButton="0" quotePrefix="0" xfId="50">
      <alignment horizontal="center" vertical="center" wrapText="1"/>
    </xf>
    <xf numFmtId="0" fontId="50" fillId="0" borderId="93" applyAlignment="1" pivotButton="0" quotePrefix="0" xfId="50">
      <alignment horizontal="center" vertical="center" wrapText="1"/>
    </xf>
    <xf numFmtId="0" fontId="50" fillId="0" borderId="94" applyAlignment="1" pivotButton="0" quotePrefix="0" xfId="50">
      <alignment horizontal="center" vertical="center" wrapText="1"/>
    </xf>
    <xf numFmtId="0" fontId="49" fillId="0" borderId="92" applyAlignment="1" pivotButton="0" quotePrefix="0" xfId="50">
      <alignment horizontal="center" vertical="center" wrapText="1"/>
    </xf>
    <xf numFmtId="0" fontId="49" fillId="0" borderId="95" applyAlignment="1" pivotButton="0" quotePrefix="0" xfId="50">
      <alignment horizontal="center" vertical="center" wrapText="1"/>
    </xf>
    <xf numFmtId="0" fontId="49" fillId="0" borderId="81" applyAlignment="1" pivotButton="0" quotePrefix="0" xfId="50">
      <alignment horizontal="center" vertical="center" wrapText="1"/>
    </xf>
    <xf numFmtId="0" fontId="49" fillId="0" borderId="96" applyAlignment="1" pivotButton="0" quotePrefix="0" xfId="50">
      <alignment horizontal="center" vertical="center" wrapText="1"/>
    </xf>
    <xf numFmtId="0" fontId="44" fillId="0" borderId="97" applyAlignment="1" pivotButton="0" quotePrefix="0" xfId="51">
      <alignment horizontal="center" vertical="center" wrapText="1"/>
    </xf>
    <xf numFmtId="0" fontId="49" fillId="0" borderId="98" applyAlignment="1" pivotButton="0" quotePrefix="0" xfId="50">
      <alignment horizontal="center" vertical="center" wrapText="1"/>
    </xf>
    <xf numFmtId="0" fontId="50" fillId="0" borderId="43" applyAlignment="1" pivotButton="0" quotePrefix="0" xfId="50">
      <alignment horizontal="center" vertical="center" wrapText="1"/>
    </xf>
    <xf numFmtId="0" fontId="50" fillId="0" borderId="44" applyAlignment="1" pivotButton="0" quotePrefix="0" xfId="50">
      <alignment horizontal="center" vertical="center" wrapText="1"/>
    </xf>
    <xf numFmtId="0" fontId="49" fillId="0" borderId="99" applyAlignment="1" pivotButton="0" quotePrefix="0" xfId="50">
      <alignment horizontal="center" vertical="center" wrapText="1"/>
    </xf>
    <xf numFmtId="0" fontId="49" fillId="0" borderId="100" applyAlignment="1" pivotButton="0" quotePrefix="0" xfId="50">
      <alignment horizontal="center" vertical="center" wrapText="1"/>
    </xf>
    <xf numFmtId="0" fontId="49" fillId="0" borderId="101" applyAlignment="1" pivotButton="0" quotePrefix="0" xfId="50">
      <alignment horizontal="center" vertical="center" wrapText="1"/>
    </xf>
    <xf numFmtId="0" fontId="44" fillId="0" borderId="77" applyAlignment="1" pivotButton="0" quotePrefix="0" xfId="51">
      <alignment horizontal="center" vertical="center" shrinkToFit="1"/>
    </xf>
    <xf numFmtId="0" fontId="50" fillId="0" borderId="102" applyAlignment="1" pivotButton="0" quotePrefix="0" xfId="50">
      <alignment horizontal="center" vertical="center" shrinkToFit="1"/>
    </xf>
    <xf numFmtId="0" fontId="49" fillId="0" borderId="103" applyAlignment="1" pivotButton="0" quotePrefix="0" xfId="50">
      <alignment horizontal="justify" vertical="top" wrapText="1"/>
    </xf>
    <xf numFmtId="0" fontId="49" fillId="0" borderId="69" applyAlignment="1" pivotButton="0" quotePrefix="0" xfId="50">
      <alignment horizontal="justify" vertical="top" wrapText="1"/>
    </xf>
    <xf numFmtId="0" fontId="49" fillId="0" borderId="104" applyAlignment="1" pivotButton="0" quotePrefix="0" xfId="50">
      <alignment horizontal="justify" vertical="top" wrapText="1"/>
    </xf>
    <xf numFmtId="0" fontId="53" fillId="0" borderId="90" applyAlignment="1" pivotButton="0" quotePrefix="0" xfId="50">
      <alignment horizontal="justify" vertical="center" wrapText="1"/>
    </xf>
    <xf numFmtId="0" fontId="53" fillId="0" borderId="0" applyAlignment="1" pivotButton="0" quotePrefix="0" xfId="50">
      <alignment horizontal="justify" vertical="center" wrapText="1"/>
    </xf>
    <xf numFmtId="0" fontId="53" fillId="0" borderId="71" applyAlignment="1" pivotButton="0" quotePrefix="0" xfId="50">
      <alignment horizontal="justify" vertical="center" wrapText="1"/>
    </xf>
    <xf numFmtId="0" fontId="49" fillId="0" borderId="89" applyAlignment="1" pivotButton="0" quotePrefix="0" xfId="50">
      <alignment horizontal="justify" vertical="top" wrapText="1"/>
    </xf>
    <xf numFmtId="0" fontId="49" fillId="0" borderId="105" applyAlignment="1" pivotButton="0" quotePrefix="0" xfId="50">
      <alignment horizontal="justify" vertical="top" wrapText="1"/>
    </xf>
    <xf numFmtId="0" fontId="53" fillId="0" borderId="90" applyAlignment="1" pivotButton="0" quotePrefix="0" xfId="50">
      <alignment horizontal="left" vertical="center" wrapText="1"/>
    </xf>
    <xf numFmtId="0" fontId="53" fillId="0" borderId="0" applyAlignment="1" pivotButton="0" quotePrefix="0" xfId="50">
      <alignment horizontal="left" vertical="center" wrapText="1"/>
    </xf>
    <xf numFmtId="0" fontId="53" fillId="0" borderId="71" applyAlignment="1" pivotButton="0" quotePrefix="0" xfId="50">
      <alignment horizontal="left" vertical="center" wrapText="1"/>
    </xf>
    <xf numFmtId="0" fontId="49" fillId="0" borderId="106" applyAlignment="1" pivotButton="0" quotePrefix="0" xfId="50">
      <alignment horizontal="justify" vertical="top" wrapText="1"/>
    </xf>
    <xf numFmtId="0" fontId="49" fillId="0" borderId="107" applyAlignment="1" pivotButton="0" quotePrefix="0" xfId="50">
      <alignment horizontal="justify" vertical="top" wrapText="1"/>
    </xf>
    <xf numFmtId="0" fontId="49" fillId="0" borderId="108" applyAlignment="1" pivotButton="0" quotePrefix="0" xfId="50">
      <alignment horizontal="justify" vertical="top" wrapText="1"/>
    </xf>
    <xf numFmtId="0" fontId="49" fillId="0" borderId="109" applyAlignment="1" pivotButton="0" quotePrefix="0" xfId="50">
      <alignment horizontal="left" vertical="center" wrapText="1"/>
    </xf>
    <xf numFmtId="0" fontId="49" fillId="0" borderId="110" applyAlignment="1" pivotButton="0" quotePrefix="0" xfId="50">
      <alignment horizontal="left" vertical="center" wrapText="1"/>
    </xf>
    <xf numFmtId="0" fontId="49" fillId="0" borderId="111" applyAlignment="1" pivotButton="0" quotePrefix="0" xfId="50">
      <alignment horizontal="left" vertical="center" wrapText="1"/>
    </xf>
    <xf numFmtId="0" fontId="49" fillId="0" borderId="112" applyAlignment="1" pivotButton="0" quotePrefix="0" xfId="50">
      <alignment horizontal="left" vertical="center" wrapText="1"/>
    </xf>
    <xf numFmtId="0" fontId="49" fillId="0" borderId="0" applyAlignment="1" pivotButton="0" quotePrefix="0" xfId="50">
      <alignment horizontal="left" vertical="center" wrapText="1"/>
    </xf>
    <xf numFmtId="0" fontId="49" fillId="0" borderId="71" applyAlignment="1" pivotButton="0" quotePrefix="0" xfId="50">
      <alignment horizontal="left" vertical="center" wrapText="1"/>
    </xf>
    <xf numFmtId="0" fontId="49" fillId="0" borderId="113" applyAlignment="1" pivotButton="0" quotePrefix="0" xfId="50">
      <alignment horizontal="left" vertical="center" wrapText="1"/>
    </xf>
    <xf numFmtId="0" fontId="49" fillId="0" borderId="107" applyAlignment="1" pivotButton="0" quotePrefix="0" xfId="50">
      <alignment horizontal="left" vertical="center" wrapText="1"/>
    </xf>
    <xf numFmtId="0" fontId="49" fillId="0" borderId="114" applyAlignment="1" pivotButton="0" quotePrefix="0" xfId="50">
      <alignment horizontal="left" vertical="center" wrapText="1"/>
    </xf>
    <xf numFmtId="0" fontId="49" fillId="0" borderId="115" applyAlignment="1" pivotButton="0" quotePrefix="0" xfId="50">
      <alignment horizontal="justify" vertical="top" wrapText="1"/>
    </xf>
    <xf numFmtId="0" fontId="49" fillId="0" borderId="116" applyAlignment="1" pivotButton="0" quotePrefix="0" xfId="50">
      <alignment horizontal="justify" vertical="top" wrapText="1"/>
    </xf>
    <xf numFmtId="0" fontId="49" fillId="0" borderId="117" applyAlignment="1" pivotButton="0" quotePrefix="0" xfId="50">
      <alignment horizontal="justify" vertical="top" wrapText="1"/>
    </xf>
    <xf numFmtId="0" fontId="49" fillId="0" borderId="118" applyAlignment="1" pivotButton="0" quotePrefix="0" xfId="50">
      <alignment horizontal="justify" vertical="top" wrapText="1"/>
    </xf>
    <xf numFmtId="0" fontId="49" fillId="0" borderId="119" applyAlignment="1" pivotButton="0" quotePrefix="0" xfId="50">
      <alignment horizontal="justify" vertical="top" wrapText="1"/>
    </xf>
    <xf numFmtId="0" fontId="49" fillId="0" borderId="120" applyAlignment="1" pivotButton="0" quotePrefix="0" xfId="50">
      <alignment horizontal="justify" vertical="top" wrapText="1"/>
    </xf>
    <xf numFmtId="0" fontId="49" fillId="0" borderId="110" applyAlignment="1" pivotButton="0" quotePrefix="0" xfId="50">
      <alignment horizontal="justify" vertical="top" wrapText="1"/>
    </xf>
    <xf numFmtId="0" fontId="49" fillId="0" borderId="121" applyAlignment="1" pivotButton="0" quotePrefix="0" xfId="50">
      <alignment horizontal="justify" vertical="top" wrapText="1"/>
    </xf>
    <xf numFmtId="0" fontId="49" fillId="0" borderId="90" applyAlignment="1" pivotButton="0" quotePrefix="0" xfId="50">
      <alignment horizontal="justify" vertical="top" wrapText="1"/>
    </xf>
    <xf numFmtId="0" fontId="49" fillId="0" borderId="0" applyAlignment="1" pivotButton="0" quotePrefix="0" xfId="50">
      <alignment horizontal="justify" vertical="top" wrapText="1"/>
    </xf>
    <xf numFmtId="0" fontId="49" fillId="0" borderId="122" applyAlignment="1" pivotButton="0" quotePrefix="0" xfId="50">
      <alignment horizontal="justify" vertical="top" wrapText="1"/>
    </xf>
    <xf numFmtId="0" fontId="49" fillId="0" borderId="109" applyAlignment="1" pivotButton="0" quotePrefix="0" xfId="50">
      <alignment horizontal="justify" vertical="top" wrapText="1"/>
    </xf>
    <xf numFmtId="0" fontId="49" fillId="0" borderId="111" applyAlignment="1" pivotButton="0" quotePrefix="0" xfId="50">
      <alignment horizontal="justify" vertical="top" wrapText="1"/>
    </xf>
    <xf numFmtId="0" fontId="50" fillId="0" borderId="91" applyAlignment="1" pivotButton="0" quotePrefix="0" xfId="50">
      <alignment horizontal="justify" vertical="center" wrapText="1"/>
    </xf>
    <xf numFmtId="0" fontId="53" fillId="0" borderId="89" applyAlignment="1" pivotButton="0" quotePrefix="0" xfId="50">
      <alignment horizontal="justify" vertical="center" wrapText="1"/>
    </xf>
    <xf numFmtId="0" fontId="53" fillId="0" borderId="69" applyAlignment="1" pivotButton="0" quotePrefix="0" xfId="50">
      <alignment horizontal="justify" vertical="center" wrapText="1"/>
    </xf>
    <xf numFmtId="0" fontId="53" fillId="0" borderId="104" applyAlignment="1" pivotButton="0" quotePrefix="0" xfId="50">
      <alignment horizontal="justify" vertical="center" wrapText="1"/>
    </xf>
    <xf numFmtId="0" fontId="49" fillId="0" borderId="89" applyAlignment="1" pivotButton="0" quotePrefix="0" xfId="50">
      <alignment horizontal="justify" vertical="center" wrapText="1"/>
    </xf>
    <xf numFmtId="0" fontId="49" fillId="0" borderId="69" applyAlignment="1" pivotButton="0" quotePrefix="0" xfId="50">
      <alignment horizontal="justify" vertical="center" wrapText="1"/>
    </xf>
    <xf numFmtId="0" fontId="49" fillId="0" borderId="104" applyAlignment="1" pivotButton="0" quotePrefix="0" xfId="50">
      <alignment horizontal="justify" vertical="center" wrapText="1"/>
    </xf>
    <xf numFmtId="0" fontId="49" fillId="0" borderId="91" applyAlignment="1" pivotButton="0" quotePrefix="0" xfId="50">
      <alignment horizontal="justify" vertical="center" wrapText="1"/>
    </xf>
    <xf numFmtId="0" fontId="49" fillId="0" borderId="73" applyAlignment="1" pivotButton="0" quotePrefix="0" xfId="50">
      <alignment horizontal="justify" vertical="center" wrapText="1"/>
    </xf>
    <xf numFmtId="0" fontId="49" fillId="0" borderId="74" applyAlignment="1" pivotButton="0" quotePrefix="0" xfId="50">
      <alignment horizontal="justify" vertical="center" wrapText="1"/>
    </xf>
    <xf numFmtId="0" fontId="48" fillId="0" borderId="123" applyAlignment="1" pivotButton="0" quotePrefix="0" xfId="50">
      <alignment horizontal="center" vertical="center" wrapText="1"/>
    </xf>
    <xf numFmtId="0" fontId="48" fillId="0" borderId="124" applyAlignment="1" pivotButton="0" quotePrefix="0" xfId="50">
      <alignment horizontal="center" vertical="center" wrapText="1"/>
    </xf>
    <xf numFmtId="0" fontId="48" fillId="0" borderId="125" applyAlignment="1" pivotButton="0" quotePrefix="0" xfId="50">
      <alignment horizontal="center" vertical="center" wrapText="1"/>
    </xf>
    <xf numFmtId="0" fontId="48" fillId="0" borderId="91" applyAlignment="1" pivotButton="0" quotePrefix="0" xfId="50">
      <alignment horizontal="center" vertical="center" wrapText="1"/>
    </xf>
    <xf numFmtId="0" fontId="48" fillId="0" borderId="73" applyAlignment="1" pivotButton="0" quotePrefix="0" xfId="50">
      <alignment horizontal="center" vertical="center" wrapText="1"/>
    </xf>
    <xf numFmtId="0" fontId="48" fillId="0" borderId="74" applyAlignment="1" pivotButton="0" quotePrefix="0" xfId="50">
      <alignment horizontal="center" vertical="center" wrapText="1"/>
    </xf>
    <xf numFmtId="0" fontId="49" fillId="0" borderId="126" applyAlignment="1" pivotButton="0" quotePrefix="0" xfId="50">
      <alignment horizontal="justify" vertical="center" wrapText="1"/>
    </xf>
    <xf numFmtId="0" fontId="49" fillId="0" borderId="127" applyAlignment="1" pivotButton="0" quotePrefix="0" xfId="50">
      <alignment horizontal="center" vertical="center" wrapText="1"/>
    </xf>
    <xf numFmtId="0" fontId="50" fillId="0" borderId="128" applyAlignment="1" pivotButton="0" quotePrefix="0" xfId="50">
      <alignment horizontal="center" vertical="center" wrapText="1"/>
    </xf>
    <xf numFmtId="0" fontId="44" fillId="0" borderId="43" applyAlignment="1" pivotButton="0" quotePrefix="0" xfId="51">
      <alignment horizontal="center" vertical="center" wrapText="1"/>
    </xf>
    <xf numFmtId="0" fontId="50" fillId="0" borderId="129" applyAlignment="1" pivotButton="0" quotePrefix="0" xfId="50">
      <alignment horizontal="center" vertical="center" wrapText="1"/>
    </xf>
    <xf numFmtId="0" fontId="50" fillId="0" borderId="130" applyAlignment="1" pivotButton="0" quotePrefix="0" xfId="50">
      <alignment horizontal="center" vertical="center" wrapText="1"/>
    </xf>
    <xf numFmtId="0" fontId="50" fillId="0" borderId="107" applyAlignment="1" pivotButton="0" quotePrefix="0" xfId="50">
      <alignment horizontal="center" vertical="center" wrapText="1"/>
    </xf>
    <xf numFmtId="0" fontId="50" fillId="0" borderId="131" applyAlignment="1" pivotButton="0" quotePrefix="0" xfId="50">
      <alignment horizontal="center" vertical="center" wrapText="1"/>
    </xf>
    <xf numFmtId="9" fontId="18" fillId="0" borderId="132" applyAlignment="1" pivotButton="0" quotePrefix="0" xfId="0">
      <alignment horizontal="center" vertical="center"/>
    </xf>
    <xf numFmtId="0" fontId="0" fillId="0" borderId="60" pivotButton="0" quotePrefix="0" xfId="0"/>
    <xf numFmtId="0" fontId="0" fillId="0" borderId="58" pivotButton="0" quotePrefix="0" xfId="0"/>
    <xf numFmtId="179" fontId="8" fillId="0" borderId="21" applyAlignment="1" pivotButton="0" quotePrefix="0" xfId="0">
      <alignment horizontal="center" vertical="center"/>
    </xf>
    <xf numFmtId="0" fontId="0" fillId="0" borderId="21" pivotButton="0" quotePrefix="0" xfId="0"/>
    <xf numFmtId="0" fontId="13" fillId="0" borderId="136" applyAlignment="1" pivotButton="0" quotePrefix="0" xfId="0">
      <alignment horizontal="center"/>
    </xf>
    <xf numFmtId="0" fontId="0" fillId="0" borderId="15" pivotButton="0" quotePrefix="0" xfId="0"/>
    <xf numFmtId="0" fontId="13" fillId="0" borderId="33" applyAlignment="1" pivotButton="0" quotePrefix="0" xfId="0">
      <alignment horizontal="center"/>
    </xf>
    <xf numFmtId="0" fontId="13" fillId="0" borderId="64" applyAlignment="1" pivotButton="0" quotePrefix="0" xfId="0">
      <alignment horizontal="center"/>
    </xf>
    <xf numFmtId="0" fontId="0" fillId="0" borderId="18" pivotButton="0" quotePrefix="0" xfId="0"/>
    <xf numFmtId="0" fontId="0" fillId="0" borderId="19" pivotButton="0" quotePrefix="0" xfId="0"/>
    <xf numFmtId="177" fontId="66" fillId="0" borderId="135" applyAlignment="1" pivotButton="0" quotePrefix="0" xfId="0">
      <alignment horizontal="center" wrapText="1" shrinkToFit="1"/>
    </xf>
    <xf numFmtId="179" fontId="13" fillId="0" borderId="33" applyAlignment="1" pivotButton="0" quotePrefix="0" xfId="0">
      <alignment horizontal="center"/>
    </xf>
    <xf numFmtId="0" fontId="0" fillId="0" borderId="28" pivotButton="0" quotePrefix="0" xfId="0"/>
    <xf numFmtId="0" fontId="68" fillId="0" borderId="20" pivotButton="0" quotePrefix="0" xfId="0"/>
    <xf numFmtId="0" fontId="68" fillId="0" borderId="0" pivotButton="0" quotePrefix="0" xfId="0"/>
    <xf numFmtId="0" fontId="68" fillId="0" borderId="32" pivotButton="0" quotePrefix="0" xfId="0"/>
    <xf numFmtId="0" fontId="68" fillId="0" borderId="12" pivotButton="0" quotePrefix="0" xfId="0"/>
    <xf numFmtId="0" fontId="68" fillId="0" borderId="32" applyAlignment="1" pivotButton="0" quotePrefix="0" xfId="0">
      <alignment horizontal="left"/>
    </xf>
    <xf numFmtId="0" fontId="68" fillId="0" borderId="33" pivotButton="0" quotePrefix="0" xfId="0"/>
    <xf numFmtId="0" fontId="68" fillId="0" borderId="33" applyAlignment="1" pivotButton="0" quotePrefix="0" xfId="0">
      <alignment horizontal="center"/>
    </xf>
    <xf numFmtId="0" fontId="68" fillId="0" borderId="26" pivotButton="0" quotePrefix="0" xfId="0"/>
    <xf numFmtId="0" fontId="68" fillId="0" borderId="33" applyAlignment="1" pivotButton="0" quotePrefix="0" xfId="0">
      <alignment shrinkToFit="1"/>
    </xf>
    <xf numFmtId="165" fontId="22" fillId="0" borderId="0" pivotButton="0" quotePrefix="0" xfId="0"/>
    <xf numFmtId="167" fontId="8" fillId="0" borderId="0" applyAlignment="1" pivotButton="0" quotePrefix="0" xfId="0">
      <alignment vertical="center"/>
    </xf>
    <xf numFmtId="176" fontId="8" fillId="0" borderId="0" applyAlignment="1" pivotButton="0" quotePrefix="0" xfId="0">
      <alignment horizontal="right" vertical="center"/>
    </xf>
    <xf numFmtId="166" fontId="8" fillId="0" borderId="0" applyAlignment="1" pivotButton="0" quotePrefix="0" xfId="0">
      <alignment vertical="center"/>
    </xf>
    <xf numFmtId="175" fontId="8" fillId="0" borderId="0" applyAlignment="1" pivotButton="0" quotePrefix="0" xfId="0">
      <alignment horizontal="right" vertical="center"/>
    </xf>
    <xf numFmtId="171" fontId="8" fillId="0" borderId="0" applyAlignment="1" pivotButton="0" quotePrefix="0" xfId="0">
      <alignment vertical="center"/>
    </xf>
    <xf numFmtId="172" fontId="8" fillId="0" borderId="0" applyAlignment="1" pivotButton="0" quotePrefix="0" xfId="0">
      <alignment vertical="center"/>
    </xf>
    <xf numFmtId="165" fontId="23" fillId="0" borderId="0" applyAlignment="1" pivotButton="0" quotePrefix="0" xfId="0">
      <alignment horizontal="right" vertical="center"/>
    </xf>
    <xf numFmtId="167" fontId="8" fillId="0" borderId="0" applyAlignment="1" pivotButton="0" quotePrefix="0" xfId="0">
      <alignment horizontal="right" vertical="center"/>
    </xf>
    <xf numFmtId="170" fontId="8" fillId="0" borderId="0" applyAlignment="1" pivotButton="0" quotePrefix="0" xfId="0">
      <alignment vertical="center"/>
    </xf>
    <xf numFmtId="173" fontId="8" fillId="0" borderId="0" applyAlignment="1" pivotButton="0" quotePrefix="0" xfId="0">
      <alignment horizontal="right" vertical="center"/>
    </xf>
    <xf numFmtId="170" fontId="10" fillId="0" borderId="0" applyAlignment="1" pivotButton="0" quotePrefix="0" xfId="0">
      <alignment horizontal="center" vertical="center"/>
    </xf>
    <xf numFmtId="167" fontId="8" fillId="0" borderId="0" applyAlignment="1" pivotButton="0" quotePrefix="0" xfId="0">
      <alignment horizontal="center"/>
    </xf>
    <xf numFmtId="166" fontId="10" fillId="0" borderId="0" applyAlignment="1" pivotButton="0" quotePrefix="0" xfId="0">
      <alignment horizontal="center"/>
    </xf>
    <xf numFmtId="166" fontId="10" fillId="0" borderId="0" applyAlignment="1" pivotButton="0" quotePrefix="0" xfId="0">
      <alignment horizontal="right" vertical="center"/>
    </xf>
    <xf numFmtId="166" fontId="10" fillId="0" borderId="0" applyAlignment="1" pivotButton="0" quotePrefix="0" xfId="0">
      <alignment horizontal="center" vertical="center"/>
    </xf>
    <xf numFmtId="166" fontId="12" fillId="0" borderId="11" applyAlignment="1" pivotButton="0" quotePrefix="0" xfId="0">
      <alignment horizontal="center" vertical="center"/>
    </xf>
    <xf numFmtId="167" fontId="10" fillId="0" borderId="11" applyAlignment="1" pivotButton="0" quotePrefix="0" xfId="0">
      <alignment vertical="center"/>
    </xf>
    <xf numFmtId="167" fontId="12" fillId="0" borderId="11" applyAlignment="1" pivotButton="0" quotePrefix="0" xfId="0">
      <alignment horizontal="center" vertical="center"/>
    </xf>
    <xf numFmtId="168" fontId="10" fillId="0" borderId="11" applyAlignment="1" pivotButton="0" quotePrefix="0" xfId="0">
      <alignment horizontal="center" vertical="center"/>
    </xf>
    <xf numFmtId="178" fontId="13" fillId="0" borderId="0" applyAlignment="1" pivotButton="0" quotePrefix="0" xfId="0">
      <alignment horizontal="left" vertical="center"/>
    </xf>
    <xf numFmtId="166" fontId="5" fillId="0" borderId="0" applyAlignment="1" pivotButton="0" quotePrefix="0" xfId="0">
      <alignment horizontal="right" vertical="center"/>
    </xf>
    <xf numFmtId="166" fontId="0" fillId="0" borderId="0" applyAlignment="1" pivotButton="0" quotePrefix="0" xfId="0">
      <alignment vertical="center"/>
    </xf>
    <xf numFmtId="166" fontId="0" fillId="0" borderId="0" pivotButton="0" quotePrefix="0" xfId="0"/>
    <xf numFmtId="164" fontId="15" fillId="0" borderId="0" applyAlignment="1" pivotButton="0" quotePrefix="0" xfId="0">
      <alignment horizontal="center"/>
    </xf>
    <xf numFmtId="165" fontId="15" fillId="0" borderId="0" applyAlignment="1" pivotButton="0" quotePrefix="0" xfId="0">
      <alignment horizontal="center"/>
    </xf>
    <xf numFmtId="164" fontId="14" fillId="25" borderId="0" applyAlignment="1" pivotButton="0" quotePrefix="0" xfId="0">
      <alignment horizontal="center" shrinkToFit="1"/>
    </xf>
    <xf numFmtId="165" fontId="14" fillId="25" borderId="0" applyAlignment="1" pivotButton="0" quotePrefix="0" xfId="0">
      <alignment horizontal="center" shrinkToFit="1"/>
    </xf>
    <xf numFmtId="176" fontId="26" fillId="27" borderId="0" applyAlignment="1" pivotButton="0" quotePrefix="0" xfId="0">
      <alignment horizontal="center"/>
    </xf>
    <xf numFmtId="174" fontId="26" fillId="24" borderId="0" applyAlignment="1" pivotButton="0" quotePrefix="0" xfId="0">
      <alignment horizontal="right"/>
    </xf>
    <xf numFmtId="164" fontId="26" fillId="27" borderId="0" applyAlignment="1" pivotButton="0" quotePrefix="0" xfId="0">
      <alignment horizontal="center"/>
    </xf>
    <xf numFmtId="176" fontId="67" fillId="27" borderId="0" applyAlignment="1" pivotButton="0" quotePrefix="0" xfId="0">
      <alignment horizontal="center"/>
    </xf>
    <xf numFmtId="169" fontId="15" fillId="0" borderId="0" applyAlignment="1" pivotButton="0" quotePrefix="0" xfId="0">
      <alignment horizontal="center"/>
    </xf>
    <xf numFmtId="164" fontId="20" fillId="0" borderId="13" applyAlignment="1" pivotButton="0" quotePrefix="0" xfId="0">
      <alignment horizontal="center"/>
    </xf>
    <xf numFmtId="165" fontId="20" fillId="0" borderId="13" applyAlignment="1" pivotButton="0" quotePrefix="0" xfId="0">
      <alignment horizontal="center"/>
    </xf>
    <xf numFmtId="164" fontId="15" fillId="0" borderId="18" applyAlignment="1" pivotButton="0" quotePrefix="0" xfId="0">
      <alignment horizontal="center"/>
    </xf>
    <xf numFmtId="165" fontId="15" fillId="0" borderId="18" applyAlignment="1" pivotButton="0" quotePrefix="0" xfId="0">
      <alignment horizontal="center"/>
    </xf>
    <xf numFmtId="177" fontId="8" fillId="0" borderId="0" applyAlignment="1" pivotButton="0" quotePrefix="0" xfId="0">
      <alignment vertical="center"/>
    </xf>
    <xf numFmtId="0" fontId="59" fillId="0" borderId="137" applyAlignment="1" pivotButton="0" quotePrefix="0" xfId="0">
      <alignment horizontal="center" vertical="center"/>
    </xf>
    <xf numFmtId="0" fontId="0" fillId="0" borderId="66" pivotButton="0" quotePrefix="0" xfId="0"/>
    <xf numFmtId="0" fontId="58" fillId="0" borderId="137" applyAlignment="1" pivotButton="0" quotePrefix="0" xfId="0">
      <alignment horizontal="center" vertical="center"/>
    </xf>
    <xf numFmtId="0" fontId="59" fillId="0" borderId="11" applyAlignment="1" pivotButton="0" quotePrefix="0" xfId="0">
      <alignment horizontal="center" vertical="center"/>
    </xf>
    <xf numFmtId="0" fontId="0" fillId="0" borderId="13" pivotButton="0" quotePrefix="0" xfId="0"/>
    <xf numFmtId="0" fontId="0" fillId="0" borderId="16" pivotButton="0" quotePrefix="0" xfId="0"/>
    <xf numFmtId="180" fontId="59" fillId="0" borderId="11" applyAlignment="1" pivotButton="0" quotePrefix="0" xfId="0">
      <alignment horizontal="center" vertical="center"/>
    </xf>
    <xf numFmtId="20" fontId="59" fillId="0" borderId="25" applyAlignment="1" pivotButton="0" quotePrefix="0" xfId="0">
      <alignment horizontal="center" vertical="center"/>
    </xf>
    <xf numFmtId="0" fontId="0" fillId="0" borderId="17" pivotButton="0" quotePrefix="0" xfId="0"/>
    <xf numFmtId="0" fontId="0" fillId="0" borderId="29" pivotButton="0" quotePrefix="0" xfId="0"/>
    <xf numFmtId="0" fontId="0" fillId="0" borderId="20" pivotButton="0" quotePrefix="0" xfId="0"/>
    <xf numFmtId="180" fontId="58" fillId="0" borderId="11" applyAlignment="1" pivotButton="0" quotePrefix="0" xfId="0">
      <alignment horizontal="center" vertical="center"/>
    </xf>
    <xf numFmtId="180" fontId="59" fillId="0" borderId="0" applyAlignment="1" pivotButton="0" quotePrefix="0" xfId="0">
      <alignment horizontal="center" vertical="center"/>
    </xf>
    <xf numFmtId="0" fontId="0" fillId="0" borderId="14" pivotButton="0" quotePrefix="0" xfId="0"/>
    <xf numFmtId="180" fontId="59" fillId="0" borderId="18" applyAlignment="1" pivotButton="0" quotePrefix="0" xfId="0">
      <alignment horizontal="center" vertical="center"/>
    </xf>
    <xf numFmtId="0" fontId="0" fillId="0" borderId="22" pivotButton="0" quotePrefix="0" xfId="0"/>
    <xf numFmtId="0" fontId="0" fillId="0" borderId="136" pivotButton="0" quotePrefix="0" xfId="0"/>
    <xf numFmtId="0" fontId="0" fillId="0" borderId="33" pivotButton="0" quotePrefix="0" xfId="0"/>
    <xf numFmtId="0" fontId="1" fillId="0" borderId="57" applyAlignment="1" pivotButton="0" quotePrefix="0" xfId="0">
      <alignment horizontal="center" vertical="center"/>
    </xf>
    <xf numFmtId="0" fontId="0" fillId="0" borderId="135" pivotButton="0" quotePrefix="0" xfId="0"/>
    <xf numFmtId="0" fontId="0" fillId="0" borderId="64" pivotButton="0" quotePrefix="0" xfId="0"/>
    <xf numFmtId="0" fontId="0" fillId="0" borderId="62" pivotButton="0" quotePrefix="0" xfId="0"/>
    <xf numFmtId="179" fontId="61" fillId="0" borderId="11" applyAlignment="1" pivotButton="0" quotePrefix="0" xfId="0">
      <alignment vertical="center"/>
    </xf>
    <xf numFmtId="175" fontId="61" fillId="0" borderId="11" applyAlignment="1" pivotButton="0" quotePrefix="0" xfId="0">
      <alignment vertical="center"/>
    </xf>
    <xf numFmtId="0" fontId="58" fillId="0" borderId="140" applyAlignment="1" pivotButton="0" quotePrefix="0" xfId="0">
      <alignment horizontal="center" vertical="center"/>
    </xf>
    <xf numFmtId="0" fontId="0" fillId="0" borderId="10" pivotButton="0" quotePrefix="0" xfId="0"/>
    <xf numFmtId="0" fontId="0" fillId="0" borderId="56" pivotButton="0" quotePrefix="0" xfId="0"/>
    <xf numFmtId="0" fontId="0" fillId="0" borderId="63" pivotButton="0" quotePrefix="0" xfId="0"/>
    <xf numFmtId="0" fontId="48" fillId="0" borderId="141" applyAlignment="1" pivotButton="0" quotePrefix="0" xfId="50">
      <alignment horizontal="center" vertical="center" wrapText="1"/>
    </xf>
    <xf numFmtId="0" fontId="0" fillId="0" borderId="124" pivotButton="0" quotePrefix="0" xfId="0"/>
    <xf numFmtId="0" fontId="0" fillId="0" borderId="125" pivotButton="0" quotePrefix="0" xfId="0"/>
    <xf numFmtId="0" fontId="48" fillId="0" borderId="142" applyAlignment="1" pivotButton="0" quotePrefix="0" xfId="50">
      <alignment horizontal="center" vertical="center" wrapText="1"/>
    </xf>
    <xf numFmtId="0" fontId="0" fillId="0" borderId="73" pivotButton="0" quotePrefix="0" xfId="0"/>
    <xf numFmtId="0" fontId="0" fillId="0" borderId="74" pivotButton="0" quotePrefix="0" xfId="0"/>
    <xf numFmtId="0" fontId="49" fillId="0" borderId="145" applyAlignment="1" pivotButton="0" quotePrefix="0" xfId="50">
      <alignment horizontal="center" vertical="center" wrapText="1"/>
    </xf>
    <xf numFmtId="0" fontId="0" fillId="0" borderId="88" pivotButton="0" quotePrefix="0" xfId="0"/>
    <xf numFmtId="0" fontId="50" fillId="0" borderId="168" applyAlignment="1" pivotButton="0" quotePrefix="0" xfId="50">
      <alignment horizontal="center" vertical="center" wrapText="1"/>
    </xf>
    <xf numFmtId="0" fontId="0" fillId="0" borderId="69" pivotButton="0" quotePrefix="0" xfId="0"/>
    <xf numFmtId="0" fontId="0" fillId="0" borderId="75" pivotButton="0" quotePrefix="0" xfId="0"/>
    <xf numFmtId="0" fontId="49" fillId="0" borderId="143" applyAlignment="1" pivotButton="0" quotePrefix="0" xfId="50">
      <alignment horizontal="justify" vertical="center" wrapText="1"/>
    </xf>
    <xf numFmtId="0" fontId="0" fillId="0" borderId="104" pivotButton="0" quotePrefix="0" xfId="0"/>
    <xf numFmtId="0" fontId="0" fillId="0" borderId="90" pivotButton="0" quotePrefix="0" xfId="0"/>
    <xf numFmtId="0" fontId="0" fillId="0" borderId="50" pivotButton="0" quotePrefix="0" xfId="0"/>
    <xf numFmtId="0" fontId="0" fillId="0" borderId="51" pivotButton="0" quotePrefix="0" xfId="0"/>
    <xf numFmtId="0" fontId="0" fillId="0" borderId="49" pivotButton="0" quotePrefix="0" xfId="0"/>
    <xf numFmtId="0" fontId="0" fillId="0" borderId="76" pivotButton="0" quotePrefix="0" xfId="0"/>
    <xf numFmtId="0" fontId="49" fillId="0" borderId="144" applyAlignment="1" pivotButton="0" quotePrefix="0" xfId="50">
      <alignment horizontal="justify" vertical="center" wrapText="1"/>
    </xf>
    <xf numFmtId="0" fontId="0" fillId="0" borderId="71" pivotButton="0" quotePrefix="0" xfId="0"/>
    <xf numFmtId="0" fontId="50" fillId="0" borderId="146" applyAlignment="1" pivotButton="0" quotePrefix="0" xfId="50">
      <alignment horizontal="center" vertical="center" wrapText="1"/>
    </xf>
    <xf numFmtId="0" fontId="50" fillId="0" borderId="144" applyAlignment="1" pivotButton="0" quotePrefix="0" xfId="50">
      <alignment horizontal="justify" vertical="center" wrapText="1"/>
    </xf>
    <xf numFmtId="0" fontId="0" fillId="0" borderId="35" pivotButton="0" quotePrefix="0" xfId="0"/>
    <xf numFmtId="0" fontId="0" fillId="0" borderId="79" pivotButton="0" quotePrefix="0" xfId="0"/>
    <xf numFmtId="0" fontId="0" fillId="0" borderId="80" pivotButton="0" quotePrefix="0" xfId="0"/>
    <xf numFmtId="0" fontId="0" fillId="0" borderId="128" pivotButton="0" quotePrefix="0" xfId="0"/>
    <xf numFmtId="0" fontId="50" fillId="0" borderId="148" applyAlignment="1" pivotButton="0" quotePrefix="0" xfId="50">
      <alignment horizontal="center" vertical="center" wrapText="1"/>
    </xf>
    <xf numFmtId="0" fontId="0" fillId="0" borderId="82" pivotButton="0" quotePrefix="0" xfId="0"/>
    <xf numFmtId="0" fontId="0" fillId="0" borderId="83" pivotButton="0" quotePrefix="0" xfId="0"/>
    <xf numFmtId="0" fontId="44" fillId="0" borderId="147" applyAlignment="1" pivotButton="0" quotePrefix="0" xfId="51">
      <alignment horizontal="center" vertical="center" wrapText="1"/>
    </xf>
    <xf numFmtId="0" fontId="0" fillId="0" borderId="44" pivotButton="0" quotePrefix="0" xfId="0"/>
    <xf numFmtId="0" fontId="0" fillId="0" borderId="129" pivotButton="0" quotePrefix="0" xfId="0"/>
    <xf numFmtId="0" fontId="0" fillId="0" borderId="91" pivotButton="0" quotePrefix="0" xfId="0"/>
    <xf numFmtId="0" fontId="0" fillId="0" borderId="53" pivotButton="0" quotePrefix="0" xfId="0"/>
    <xf numFmtId="0" fontId="0" fillId="0" borderId="127" pivotButton="0" quotePrefix="0" xfId="0"/>
    <xf numFmtId="0" fontId="0" fillId="0" borderId="130" pivotButton="0" quotePrefix="0" xfId="0"/>
    <xf numFmtId="0" fontId="0" fillId="0" borderId="107" pivotButton="0" quotePrefix="0" xfId="0"/>
    <xf numFmtId="0" fontId="0" fillId="0" borderId="131" pivotButton="0" quotePrefix="0" xfId="0"/>
    <xf numFmtId="0" fontId="50" fillId="0" borderId="167" applyAlignment="1" pivotButton="0" quotePrefix="0" xfId="50">
      <alignment horizontal="justify" vertical="center" wrapText="1"/>
    </xf>
    <xf numFmtId="0" fontId="49" fillId="0" borderId="160" applyAlignment="1" pivotButton="0" quotePrefix="0" xfId="50">
      <alignment horizontal="center" vertical="center" wrapText="1"/>
    </xf>
    <xf numFmtId="0" fontId="50" fillId="0" borderId="166" applyAlignment="1" pivotButton="0" quotePrefix="0" xfId="50">
      <alignment horizontal="center" vertical="center" wrapText="1"/>
    </xf>
    <xf numFmtId="0" fontId="0" fillId="0" borderId="100" pivotButton="0" quotePrefix="0" xfId="0"/>
    <xf numFmtId="0" fontId="0" fillId="0" borderId="87" pivotButton="0" quotePrefix="0" xfId="0"/>
    <xf numFmtId="0" fontId="0" fillId="0" borderId="163" pivotButton="0" quotePrefix="0" xfId="0"/>
    <xf numFmtId="0" fontId="0" fillId="0" borderId="45" pivotButton="0" quotePrefix="0" xfId="0"/>
    <xf numFmtId="0" fontId="50" fillId="0" borderId="161" applyAlignment="1" pivotButton="0" quotePrefix="0" xfId="50">
      <alignment horizontal="center" vertical="center" wrapText="1"/>
    </xf>
    <xf numFmtId="0" fontId="0" fillId="0" borderId="162" pivotButton="0" quotePrefix="0" xfId="0"/>
    <xf numFmtId="0" fontId="0" fillId="0" borderId="98" pivotButton="0" quotePrefix="0" xfId="0"/>
    <xf numFmtId="0" fontId="0" fillId="0" borderId="101" pivotButton="0" quotePrefix="0" xfId="0"/>
    <xf numFmtId="0" fontId="0" fillId="0" borderId="78" pivotButton="0" quotePrefix="0" xfId="0"/>
    <xf numFmtId="0" fontId="44" fillId="0" borderId="164" applyAlignment="1" pivotButton="0" quotePrefix="0" xfId="51">
      <alignment horizontal="center" vertical="center" shrinkToFit="1"/>
    </xf>
    <xf numFmtId="0" fontId="0" fillId="0" borderId="102" pivotButton="0" quotePrefix="0" xfId="0"/>
    <xf numFmtId="0" fontId="51" fillId="0" borderId="165" applyAlignment="1" pivotButton="0" quotePrefix="0" xfId="50">
      <alignment horizontal="center" vertical="center" wrapText="1"/>
    </xf>
    <xf numFmtId="0" fontId="0" fillId="0" borderId="85" pivotButton="0" quotePrefix="0" xfId="0"/>
    <xf numFmtId="0" fontId="0" fillId="0" borderId="86" pivotButton="0" quotePrefix="0" xfId="0"/>
    <xf numFmtId="0" fontId="50" fillId="0" borderId="46" applyAlignment="1" pivotButton="0" quotePrefix="0" xfId="50">
      <alignment horizontal="justify" vertical="center" wrapText="1"/>
    </xf>
    <xf numFmtId="0" fontId="50" fillId="0" borderId="51" applyAlignment="1" pivotButton="0" quotePrefix="0" xfId="50">
      <alignment horizontal="justify" vertical="center" wrapText="1"/>
    </xf>
    <xf numFmtId="0" fontId="49" fillId="0" borderId="150" applyAlignment="1" pivotButton="0" quotePrefix="0" xfId="50">
      <alignment horizontal="justify" vertical="center" wrapText="1"/>
    </xf>
    <xf numFmtId="0" fontId="49" fillId="0" borderId="142" applyAlignment="1" pivotButton="0" quotePrefix="0" xfId="50">
      <alignment horizontal="justify" vertical="center" wrapText="1"/>
    </xf>
    <xf numFmtId="0" fontId="53" fillId="0" borderId="150" applyAlignment="1" pivotButton="0" quotePrefix="0" xfId="50">
      <alignment horizontal="justify" vertical="center" wrapText="1"/>
    </xf>
    <xf numFmtId="0" fontId="53" fillId="0" borderId="149" applyAlignment="1" pivotButton="0" quotePrefix="0" xfId="50">
      <alignment horizontal="justify" vertical="center" wrapText="1"/>
    </xf>
    <xf numFmtId="0" fontId="53" fillId="0" borderId="149" applyAlignment="1" pivotButton="0" quotePrefix="0" xfId="50">
      <alignment horizontal="left" vertical="center" wrapText="1"/>
    </xf>
    <xf numFmtId="0" fontId="50" fillId="0" borderId="142" applyAlignment="1" pivotButton="0" quotePrefix="0" xfId="50">
      <alignment horizontal="justify" vertical="center" wrapText="1"/>
    </xf>
    <xf numFmtId="0" fontId="49" fillId="0" borderId="152" applyAlignment="1" pivotButton="0" quotePrefix="0" xfId="50">
      <alignment horizontal="justify" vertical="top" wrapText="1"/>
    </xf>
    <xf numFmtId="0" fontId="0" fillId="0" borderId="105" pivotButton="0" quotePrefix="0" xfId="0"/>
    <xf numFmtId="0" fontId="49" fillId="0" borderId="151" applyAlignment="1" pivotButton="0" quotePrefix="0" xfId="50">
      <alignment horizontal="justify" vertical="top" wrapText="1"/>
    </xf>
    <xf numFmtId="0" fontId="49" fillId="0" borderId="155" applyAlignment="1" pivotButton="0" quotePrefix="0" xfId="50">
      <alignment horizontal="justify" vertical="top" wrapText="1"/>
    </xf>
    <xf numFmtId="0" fontId="0" fillId="0" borderId="116" pivotButton="0" quotePrefix="0" xfId="0"/>
    <xf numFmtId="0" fontId="0" fillId="0" borderId="117" pivotButton="0" quotePrefix="0" xfId="0"/>
    <xf numFmtId="0" fontId="49" fillId="0" borderId="156" applyAlignment="1" pivotButton="0" quotePrefix="0" xfId="50">
      <alignment horizontal="justify" vertical="top" wrapText="1"/>
    </xf>
    <xf numFmtId="0" fontId="0" fillId="0" borderId="119" pivotButton="0" quotePrefix="0" xfId="0"/>
    <xf numFmtId="0" fontId="49" fillId="0" borderId="157" applyAlignment="1" pivotButton="0" quotePrefix="0" xfId="50">
      <alignment horizontal="justify" vertical="top" wrapText="1"/>
    </xf>
    <xf numFmtId="0" fontId="0" fillId="0" borderId="110" pivotButton="0" quotePrefix="0" xfId="0"/>
    <xf numFmtId="0" fontId="0" fillId="0" borderId="121" pivotButton="0" quotePrefix="0" xfId="0"/>
    <xf numFmtId="0" fontId="49" fillId="0" borderId="159" applyAlignment="1" pivotButton="0" quotePrefix="0" xfId="50">
      <alignment horizontal="justify" vertical="top" wrapText="1"/>
    </xf>
    <xf numFmtId="0" fontId="0" fillId="0" borderId="111" pivotButton="0" quotePrefix="0" xfId="0"/>
    <xf numFmtId="0" fontId="49" fillId="0" borderId="154" applyAlignment="1" pivotButton="0" quotePrefix="0" xfId="50">
      <alignment horizontal="left" vertical="center" wrapText="1"/>
    </xf>
    <xf numFmtId="0" fontId="49" fillId="0" borderId="158" applyAlignment="1" pivotButton="0" quotePrefix="0" xfId="50">
      <alignment horizontal="justify" vertical="top" wrapText="1"/>
    </xf>
    <xf numFmtId="0" fontId="0" fillId="0" borderId="122" pivotButton="0" quotePrefix="0" xfId="0"/>
    <xf numFmtId="0" fontId="0" fillId="0" borderId="112" pivotButton="0" quotePrefix="0" xfId="0"/>
    <xf numFmtId="0" fontId="49" fillId="0" borderId="153" applyAlignment="1" pivotButton="0" quotePrefix="0" xfId="50">
      <alignment horizontal="justify" vertical="top" wrapText="1"/>
    </xf>
    <xf numFmtId="0" fontId="0" fillId="0" borderId="108" pivotButton="0" quotePrefix="0" xfId="0"/>
    <xf numFmtId="0" fontId="0" fillId="0" borderId="113" pivotButton="0" quotePrefix="0" xfId="0"/>
    <xf numFmtId="0" fontId="0" fillId="0" borderId="114" pivotButton="0" quotePrefix="0" xfId="0"/>
  </cellXfs>
  <cellStyles count="52">
    <cellStyle name="표준" xfId="0" builtinId="0"/>
    <cellStyle name="20% - 강조색1" xfId="1" builtinId="30"/>
    <cellStyle name="20% - 강조색2" xfId="2" builtinId="34"/>
    <cellStyle name="20% - 강조색3" xfId="3" builtinId="38"/>
    <cellStyle name="20% - 강조색4" xfId="4" builtinId="42"/>
    <cellStyle name="20% - 강조색5" xfId="5" builtinId="46"/>
    <cellStyle name="20% - 강조색6" xfId="6" builtinId="50"/>
    <cellStyle name="40% - 강조색1" xfId="7" builtinId="31"/>
    <cellStyle name="40% - 강조색2" xfId="8" builtinId="35"/>
    <cellStyle name="40% - 강조색3" xfId="9" builtinId="39"/>
    <cellStyle name="40% - 강조색4" xfId="10" builtinId="43"/>
    <cellStyle name="40% - 강조색5" xfId="11" builtinId="47"/>
    <cellStyle name="40% - 강조색6" xfId="12" builtinId="51"/>
    <cellStyle name="60% - 강조색1" xfId="13" builtinId="32"/>
    <cellStyle name="60% - 강조색2" xfId="14" builtinId="36"/>
    <cellStyle name="60% - 강조색3" xfId="15" builtinId="40"/>
    <cellStyle name="60% - 강조색4" xfId="16" builtinId="44"/>
    <cellStyle name="60% - 강조색5" xfId="17" builtinId="48"/>
    <cellStyle name="60% - 강조색6" xfId="18" builtinId="52"/>
    <cellStyle name="Comma [0]_ SG&amp;A Bridge " xfId="19"/>
    <cellStyle name="Comma_ SG&amp;A Bridge " xfId="20"/>
    <cellStyle name="Currency [0]_ SG&amp;A Bridge " xfId="21"/>
    <cellStyle name="Currency_ SG&amp;A Bridge " xfId="22"/>
    <cellStyle name="Normal_ SG&amp;A Bridge " xfId="23"/>
    <cellStyle name="강조색1" xfId="24" builtinId="29"/>
    <cellStyle name="강조색2" xfId="25" builtinId="33"/>
    <cellStyle name="강조색3" xfId="26" builtinId="37"/>
    <cellStyle name="강조색4" xfId="27" builtinId="41"/>
    <cellStyle name="강조색5" xfId="28" builtinId="45"/>
    <cellStyle name="강조색6" xfId="29" builtinId="49"/>
    <cellStyle name="경고문" xfId="30" builtinId="11"/>
    <cellStyle name="계산" xfId="31" builtinId="22"/>
    <cellStyle name="나쁨" xfId="32" builtinId="27"/>
    <cellStyle name="메모" xfId="33" builtinId="10"/>
    <cellStyle name="보통" xfId="34" builtinId="28"/>
    <cellStyle name="뷭?_BOOKSHIP" xfId="35"/>
    <cellStyle name="설명 텍스트" xfId="36" builtinId="53"/>
    <cellStyle name="셀 확인" xfId="37" builtinId="23"/>
    <cellStyle name="연결된 셀" xfId="38" builtinId="24"/>
    <cellStyle name="요약" xfId="39" builtinId="25"/>
    <cellStyle name="입력" xfId="40" builtinId="20"/>
    <cellStyle name="제목" xfId="41" builtinId="15"/>
    <cellStyle name="제목 1" xfId="42" builtinId="16"/>
    <cellStyle name="제목 2" xfId="43" builtinId="17"/>
    <cellStyle name="제목 3" xfId="44" builtinId="18"/>
    <cellStyle name="제목 4" xfId="45" builtinId="19"/>
    <cellStyle name="좋음" xfId="46" builtinId="26"/>
    <cellStyle name="출력" xfId="47" builtinId="21"/>
    <cellStyle name="콤마 [0]_내용" xfId="48"/>
    <cellStyle name="콤마_내용" xfId="49"/>
    <cellStyle name="표준_원산지증명서" xfId="50"/>
    <cellStyle name="하이퍼링크_원산지증명서"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twoCellAnchor>
    <from>
      <col>11</col>
      <colOff>581025</colOff>
      <row>56</row>
      <rowOff>57150</rowOff>
    </from>
    <to>
      <col>14</col>
      <colOff>352425</colOff>
      <row>65</row>
      <rowOff>28575</rowOff>
    </to>
    <grpSp>
      <nvGrpSpPr>
        <cNvPr id="45015" name="그룹 1"/>
        <cNvGrpSpPr>
          <a:grpSpLocks xmlns:a="http://schemas.openxmlformats.org/drawingml/2006/main"/>
        </cNvGrpSpPr>
      </nvGrpSpPr>
      <grpSpPr bwMode="auto">
        <a:xfrm xmlns:a="http://schemas.openxmlformats.org/drawingml/2006/main" rot="0">
          <a:off x="5762625" y="9010650"/>
          <a:ext cx="1962150" cy="1343025"/>
          <a:chOff x="5715828" y="8882314"/>
          <a:chExt cx="2052017" cy="1343809"/>
        </a:xfrm>
      </grpSpPr>
      <pic>
        <nvPicPr>
          <cNvPr id="45017" name="그림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6013175" y="8882314"/>
            <a:ext cx="1496830" cy="1170507"/>
          </a:xfrm>
          <a:prstGeom xmlns:a="http://schemas.openxmlformats.org/drawingml/2006/main" prst="rect">
            <avLst/>
          </a:prstGeom>
          <a:noFill xmlns:a="http://schemas.openxmlformats.org/drawingml/2006/main"/>
          <a:ln xmlns:a="http://schemas.openxmlformats.org/drawingml/2006/main">
            <a:noFill/>
            <a:prstDash val="solid"/>
          </a:ln>
        </spPr>
      </pic>
    </grpSp>
    <clientData/>
  </twoCellAnchor>
</wsDr>
</file>

<file path=xl/drawings/drawing2.xml><?xml version="1.0" encoding="utf-8"?>
<wsDr xmlns="http://schemas.openxmlformats.org/drawingml/2006/spreadsheetDrawing">
  <twoCellAnchor>
    <from>
      <col>11</col>
      <colOff>600075</colOff>
      <row>56</row>
      <rowOff>38100</rowOff>
    </from>
    <to>
      <col>14</col>
      <colOff>371475</colOff>
      <row>65</row>
      <rowOff>9525</rowOff>
    </to>
    <grpSp>
      <nvGrpSpPr>
        <cNvPr id="46039" name="그룹 1"/>
        <cNvGrpSpPr>
          <a:grpSpLocks xmlns:a="http://schemas.openxmlformats.org/drawingml/2006/main"/>
        </cNvGrpSpPr>
      </nvGrpSpPr>
      <grpSpPr bwMode="auto">
        <a:xfrm xmlns:a="http://schemas.openxmlformats.org/drawingml/2006/main" rot="0">
          <a:off x="5915025" y="9239250"/>
          <a:ext cx="2047875" cy="1343025"/>
          <a:chOff x="5715828" y="8882314"/>
          <a:chExt cx="2052017" cy="1343809"/>
        </a:xfrm>
      </grpSpPr>
      <pic>
        <nvPicPr>
          <cNvPr id="46041" name="그림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6013175" y="8882314"/>
            <a:ext cx="1496830" cy="1170507"/>
          </a:xfrm>
          <a:prstGeom xmlns:a="http://schemas.openxmlformats.org/drawingml/2006/main" prst="rect">
            <avLst/>
          </a:prstGeom>
          <a:noFill xmlns:a="http://schemas.openxmlformats.org/drawingml/2006/main"/>
          <a:ln xmlns:a="http://schemas.openxmlformats.org/drawingml/2006/main">
            <a:noFill/>
            <a:prstDash val="solid"/>
          </a:ln>
        </spPr>
      </pic>
    </grpSp>
    <clientData/>
  </twoCellAnchor>
</wsDr>
</file>

<file path=xl/drawings/drawing3.xml><?xml version="1.0" encoding="utf-8"?>
<wsDr xmlns="http://schemas.openxmlformats.org/drawingml/2006/spreadsheetDrawing">
  <twoCellAnchor>
    <from>
      <col>11</col>
      <colOff>142875</colOff>
      <row>11</row>
      <rowOff>47625</rowOff>
    </from>
    <to>
      <col>18</col>
      <colOff>180975</colOff>
      <row>23</row>
      <rowOff>228600</rowOff>
    </to>
    <pic>
      <nvPicPr>
        <cNvPr id="31161" name="Picture 1" descr="image001"/>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10915650" y="2133600"/>
          <a:ext cx="5372100" cy="25050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editAs="oneCell">
    <from>
      <col>3</col>
      <colOff>847725</colOff>
      <row>73</row>
      <rowOff>66675</rowOff>
    </from>
    <to>
      <col>5</col>
      <colOff>152400</colOff>
      <row>74</row>
      <rowOff>161925</rowOff>
    </to>
    <pic>
      <nvPicPr>
        <cNvPr id="26387" name="Picture 10" descr="President Sign"/>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2409825" y="16011525"/>
          <a:ext cx="1600200" cy="31432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hyperlink" Target="mailto:sylee@kc.co.kr" TargetMode="External" Id="rId1"/><Relationship Type="http://schemas.openxmlformats.org/officeDocument/2006/relationships/hyperlink" Target="mailto:sylee@kc.co.kr" TargetMode="External" Id="rId2"/><Relationship Type="http://schemas.openxmlformats.org/officeDocument/2006/relationships/hyperlink" Target="mailto:jadcock@borgwarner.com" TargetMode="External" Id="rId3"/><Relationship Type="http://schemas.openxmlformats.org/officeDocument/2006/relationships/drawing" Target="/xl/drawings/drawing4.xml" Id="rId4"/></Relationships>
</file>

<file path=xl/worksheets/sheet1.xml><?xml version="1.0" encoding="utf-8"?>
<worksheet xmlns="http://schemas.openxmlformats.org/spreadsheetml/2006/main">
  <sheetPr>
    <tabColor theme="5"/>
    <outlinePr summaryBelow="1" summaryRight="1"/>
    <pageSetUpPr/>
  </sheetPr>
  <dimension ref="A1:P78"/>
  <sheetViews>
    <sheetView showGridLines="0" tabSelected="1" view="pageBreakPreview" topLeftCell="B7" zoomScaleNormal="100" zoomScaleSheetLayoutView="100" workbookViewId="0">
      <selection activeCell="H3" sqref="H3"/>
    </sheetView>
  </sheetViews>
  <sheetFormatPr baseColWidth="8" defaultColWidth="5.77734375" defaultRowHeight="12.75"/>
  <cols>
    <col width="5.77734375" customWidth="1" style="36" min="1" max="3"/>
    <col width="5.21875" customWidth="1" style="36" min="4" max="4"/>
    <col width="5.77734375" customWidth="1" style="36" min="5" max="5"/>
    <col width="7.109375" customWidth="1" style="36" min="6" max="6"/>
    <col width="1.44140625" customWidth="1" style="36" min="7" max="7"/>
    <col width="5.77734375" customWidth="1" style="36" min="8" max="8"/>
    <col width="3.44140625" customWidth="1" style="47" min="9" max="9"/>
    <col width="10.109375" customWidth="1" style="36" min="10" max="10"/>
    <col width="4.21875" customWidth="1" style="36" min="11" max="11"/>
    <col width="10.77734375" customWidth="1" style="36" min="12" max="12"/>
    <col width="7.5546875" bestFit="1" customWidth="1" style="36" min="13" max="13"/>
    <col width="7.21875" customWidth="1" style="36" min="14" max="14"/>
    <col width="6.109375" customWidth="1" style="36" min="15" max="15"/>
    <col width="5.77734375" customWidth="1" style="36" min="16" max="16"/>
    <col width="13" customWidth="1" style="36" min="17" max="17"/>
    <col width="5.77734375" customWidth="1" style="36" min="18" max="16384"/>
  </cols>
  <sheetData>
    <row r="1" ht="35.25" customFormat="1" customHeight="1" s="44">
      <c r="A1" s="437" t="inlineStr">
        <is>
          <t>COMMERCIAL INVOICE</t>
        </is>
      </c>
      <c r="B1" s="438" t="n"/>
      <c r="C1" s="438" t="n"/>
      <c r="D1" s="438" t="n"/>
      <c r="E1" s="438" t="n"/>
      <c r="F1" s="438" t="n"/>
      <c r="G1" s="438" t="n"/>
      <c r="H1" s="438" t="n"/>
      <c r="I1" s="438" t="n"/>
      <c r="J1" s="438" t="n"/>
      <c r="K1" s="438" t="n"/>
      <c r="L1" s="438" t="n"/>
      <c r="M1" s="438" t="n"/>
      <c r="N1" s="438" t="n"/>
      <c r="O1" s="439" t="n"/>
      <c r="P1" s="43" t="n"/>
    </row>
    <row r="2" ht="21" customFormat="1" customHeight="1" s="55">
      <c r="A2" s="81" t="inlineStr">
        <is>
          <t>KYUNG CHANG PRECISION. CO.,LTD</t>
        </is>
      </c>
      <c r="B2" s="50" t="n"/>
      <c r="C2" s="50" t="n"/>
      <c r="D2" s="50" t="n"/>
      <c r="E2" s="50" t="n"/>
      <c r="F2" s="51" t="n"/>
      <c r="G2" s="52" t="n"/>
      <c r="H2" s="121" t="inlineStr">
        <is>
          <t>KCR26-06</t>
        </is>
      </c>
      <c r="I2" s="54" t="n"/>
      <c r="J2" s="53" t="n"/>
      <c r="K2" s="440" t="n">
        <v>46076</v>
      </c>
      <c r="L2" s="441" t="n"/>
      <c r="M2" s="441" t="n"/>
      <c r="N2" s="53" t="n"/>
      <c r="O2" s="82" t="n"/>
    </row>
    <row r="3">
      <c r="A3" s="83" t="inlineStr">
        <is>
          <t>1. For Account &amp; Risk of Messers</t>
        </is>
      </c>
      <c r="F3" s="38" t="n"/>
      <c r="G3" s="37" t="inlineStr">
        <is>
          <t>7. Remarks</t>
        </is>
      </c>
      <c r="O3" s="84" t="n"/>
    </row>
    <row r="4">
      <c r="A4" s="45" t="inlineStr">
        <is>
          <t xml:space="preserve">BORGWARNER TURBO AND EMISSIONS SYSTEMS DE </t>
        </is>
      </c>
      <c r="F4" s="38" t="n"/>
      <c r="G4" s="37" t="n"/>
      <c r="O4" s="84" t="n"/>
    </row>
    <row r="5">
      <c r="A5" s="36" t="inlineStr">
        <is>
          <t>MEXICO SA DE CV</t>
        </is>
      </c>
      <c r="F5" s="38" t="n"/>
      <c r="G5" s="37" t="n"/>
      <c r="O5" s="84" t="n"/>
    </row>
    <row r="6">
      <c r="A6" s="45" t="inlineStr">
        <is>
          <t>BLVD. KAPPA No. Ext. 1125</t>
        </is>
      </c>
      <c r="F6" s="38" t="n"/>
      <c r="G6" s="37" t="n"/>
      <c r="O6" s="84" t="n"/>
    </row>
    <row r="7">
      <c r="A7" s="45" t="inlineStr">
        <is>
          <t xml:space="preserve">COL. PARQUE INDUSTRIAL SANTA MARIA, </t>
        </is>
      </c>
      <c r="F7" s="38" t="n"/>
      <c r="G7" s="37" t="n"/>
      <c r="O7" s="84" t="n"/>
    </row>
    <row r="8">
      <c r="A8" s="36" t="inlineStr">
        <is>
          <t>RAMOS ARIZPE C.P.</t>
        </is>
      </c>
      <c r="F8" s="38" t="n"/>
      <c r="G8" s="37" t="n"/>
      <c r="O8" s="84" t="n"/>
    </row>
    <row r="9">
      <c r="A9" s="45" t="inlineStr">
        <is>
          <t>25903 COAHUILA DE ZARAGOZA MEXICO</t>
        </is>
      </c>
      <c r="F9" s="38" t="n"/>
      <c r="G9" s="37" t="n"/>
      <c r="O9" s="84" t="n"/>
    </row>
    <row r="10">
      <c r="F10" s="38" t="n"/>
      <c r="G10" s="37" t="n"/>
      <c r="O10" s="84" t="n"/>
    </row>
    <row r="11">
      <c r="A11" s="83" t="inlineStr">
        <is>
          <t xml:space="preserve">   Attention : Jose Luis Zamora.</t>
        </is>
      </c>
      <c r="F11" s="38" t="n"/>
      <c r="G11" s="37" t="n"/>
      <c r="O11" s="84" t="n"/>
    </row>
    <row r="12">
      <c r="A12" s="85" t="inlineStr">
        <is>
          <t>2. Notify party</t>
        </is>
      </c>
      <c r="B12" s="35" t="n"/>
      <c r="C12" s="35" t="n"/>
      <c r="D12" s="35" t="n"/>
      <c r="E12" s="35" t="n"/>
      <c r="F12" s="39" t="n"/>
      <c r="G12" s="37" t="n"/>
      <c r="O12" s="84" t="n"/>
    </row>
    <row r="13" ht="6" customHeight="1">
      <c r="A13" s="83" t="n"/>
      <c r="F13" s="38" t="n"/>
      <c r="G13" s="37" t="n"/>
      <c r="O13" s="84" t="n"/>
    </row>
    <row r="14">
      <c r="A14" s="45" t="inlineStr">
        <is>
          <t xml:space="preserve">   Same as Above</t>
        </is>
      </c>
      <c r="F14" s="38" t="n"/>
      <c r="G14" s="37" t="n"/>
      <c r="O14" s="84" t="n"/>
    </row>
    <row r="15">
      <c r="A15" s="86" t="n"/>
      <c r="B15" s="41" t="n"/>
      <c r="C15" s="41" t="n"/>
      <c r="D15" s="41" t="n"/>
      <c r="E15" s="41" t="n"/>
      <c r="F15" s="42" t="n"/>
      <c r="G15" s="37" t="n"/>
      <c r="O15" s="84" t="n"/>
    </row>
    <row r="16" ht="13.5" customHeight="1">
      <c r="A16" s="85" t="inlineStr">
        <is>
          <t>3. Port of Loading</t>
        </is>
      </c>
      <c r="B16" s="35" t="n"/>
      <c r="C16" s="39" t="n"/>
      <c r="D16" s="34" t="inlineStr">
        <is>
          <t>4. Final Destination</t>
        </is>
      </c>
      <c r="E16" s="35" t="n"/>
      <c r="F16" s="39" t="n"/>
      <c r="G16" s="37" t="n"/>
      <c r="I16" s="243" t="inlineStr">
        <is>
          <t xml:space="preserve">  SA# : 2550000334</t>
        </is>
      </c>
      <c r="O16" s="84" t="n"/>
    </row>
    <row r="17" ht="6" customHeight="1">
      <c r="A17" s="83" t="n"/>
      <c r="C17" s="38" t="n"/>
      <c r="D17" s="37" t="n"/>
      <c r="F17" s="38" t="n"/>
      <c r="G17" s="37" t="n"/>
      <c r="I17" s="36" t="n"/>
      <c r="O17" s="84" t="n"/>
    </row>
    <row r="18" ht="13.5" customHeight="1">
      <c r="A18" s="442" t="inlineStr">
        <is>
          <t xml:space="preserve">BUSAN, KOREA </t>
        </is>
      </c>
      <c r="C18" s="443" t="n"/>
      <c r="D18" s="444" t="n"/>
      <c r="F18" s="443" t="n"/>
      <c r="G18" s="37" t="n"/>
      <c r="I18" s="243" t="inlineStr">
        <is>
          <t xml:space="preserve">  Tax ID : 503-81-32693</t>
        </is>
      </c>
      <c r="O18" s="84" t="n"/>
    </row>
    <row r="19">
      <c r="A19" s="83" t="n"/>
      <c r="C19" s="38" t="n"/>
      <c r="D19" s="444" t="inlineStr">
        <is>
          <t>FOB</t>
        </is>
      </c>
      <c r="F19" s="443" t="n"/>
      <c r="G19" s="37" t="n"/>
      <c r="O19" s="84" t="n"/>
    </row>
    <row r="20">
      <c r="A20" s="86" t="n"/>
      <c r="B20" s="41" t="n"/>
      <c r="C20" s="42" t="n"/>
      <c r="D20" s="445" t="n"/>
      <c r="E20" s="446" t="n"/>
      <c r="F20" s="447" t="n"/>
      <c r="G20" s="37" t="n"/>
      <c r="O20" s="84" t="n"/>
    </row>
    <row r="21">
      <c r="A21" s="83" t="inlineStr">
        <is>
          <t>5. Carrier</t>
        </is>
      </c>
      <c r="D21" s="34" t="inlineStr">
        <is>
          <t>6. Sailing Date</t>
        </is>
      </c>
      <c r="E21" s="35" t="n"/>
      <c r="F21" s="39" t="n"/>
      <c r="G21" s="34" t="n"/>
      <c r="H21" s="35" t="inlineStr">
        <is>
          <t>Terms of delivery and payment</t>
        </is>
      </c>
      <c r="I21" s="231" t="n"/>
      <c r="J21" s="35" t="n"/>
      <c r="K21" s="35" t="n"/>
      <c r="L21" s="35" t="n"/>
      <c r="M21" s="35" t="n"/>
      <c r="N21" s="35" t="n"/>
      <c r="O21" s="232" t="n"/>
    </row>
    <row r="22" ht="3.75" customHeight="1">
      <c r="A22" s="83" t="n"/>
      <c r="D22" s="37" t="n"/>
      <c r="F22" s="38" t="n"/>
      <c r="G22" s="37" t="n"/>
      <c r="O22" s="84" t="n"/>
    </row>
    <row r="23" ht="13.5" customHeight="1">
      <c r="A23" s="448" t="n"/>
      <c r="C23" s="443" t="n"/>
      <c r="D23" s="449" t="n"/>
      <c r="F23" s="443" t="n"/>
      <c r="G23" s="37" t="n"/>
      <c r="H23" s="187" t="n"/>
      <c r="O23" s="84" t="n"/>
    </row>
    <row r="24">
      <c r="A24" s="450" t="n"/>
      <c r="B24" s="446" t="n"/>
      <c r="C24" s="447" t="n"/>
      <c r="D24" s="40" t="n"/>
      <c r="E24" s="41" t="n"/>
      <c r="F24" s="42" t="n"/>
      <c r="G24" s="40" t="n"/>
      <c r="H24" s="41" t="n"/>
      <c r="I24" s="48" t="n"/>
      <c r="J24" s="41" t="n"/>
      <c r="K24" s="41" t="n"/>
      <c r="L24" s="41" t="n"/>
      <c r="M24" s="41" t="n"/>
      <c r="N24" s="41" t="n"/>
      <c r="O24" s="87" t="n"/>
    </row>
    <row r="25">
      <c r="A25" s="451" t="inlineStr">
        <is>
          <t>8.Marks and Numbers of PKGS</t>
        </is>
      </c>
      <c r="B25" s="94" t="n"/>
      <c r="C25" s="94" t="n"/>
      <c r="D25" s="95" t="n"/>
      <c r="E25" s="452" t="inlineStr">
        <is>
          <t>9.Description of</t>
        </is>
      </c>
      <c r="F25" s="94" t="n"/>
      <c r="G25" s="95" t="n"/>
      <c r="H25" s="452" t="inlineStr">
        <is>
          <t>10.Quantity</t>
        </is>
      </c>
      <c r="I25" s="96" t="n"/>
      <c r="J25" s="453" t="inlineStr">
        <is>
          <t>11.Unit</t>
        </is>
      </c>
      <c r="K25" s="454" t="inlineStr">
        <is>
          <t>12.Extended Price</t>
        </is>
      </c>
      <c r="L25" s="95" t="n"/>
      <c r="M25" s="455" t="inlineStr">
        <is>
          <t>13.P.O.#</t>
        </is>
      </c>
      <c r="N25" s="453" t="inlineStr">
        <is>
          <t>14.RAN#</t>
        </is>
      </c>
      <c r="O25" s="99" t="n"/>
    </row>
    <row r="26" ht="9.949999999999999" customHeight="1">
      <c r="A26" s="93" t="n"/>
      <c r="B26" s="94" t="n"/>
      <c r="C26" s="94" t="n"/>
      <c r="D26" s="100" t="n"/>
      <c r="E26" s="452" t="inlineStr">
        <is>
          <t xml:space="preserve">   Goods</t>
        </is>
      </c>
      <c r="F26" s="94" t="n"/>
      <c r="G26" s="100" t="n"/>
      <c r="H26" s="94" t="n"/>
      <c r="I26" s="101" t="n"/>
      <c r="J26" s="456" t="inlineStr">
        <is>
          <t xml:space="preserve">   Price</t>
        </is>
      </c>
      <c r="K26" s="106" t="n"/>
      <c r="L26" s="100" t="n"/>
      <c r="M26" s="103" t="n"/>
      <c r="N26" s="102" t="n"/>
      <c r="O26" s="99" t="n"/>
    </row>
    <row r="27" ht="9.949999999999999" customHeight="1">
      <c r="A27" s="93" t="n"/>
      <c r="B27" s="94" t="n"/>
      <c r="C27" s="94" t="n"/>
      <c r="D27" s="100" t="n"/>
      <c r="E27" s="94" t="n"/>
      <c r="F27" s="94" t="n"/>
      <c r="G27" s="100" t="n"/>
      <c r="H27" s="457" t="inlineStr">
        <is>
          <t xml:space="preserve">    (pcs)</t>
        </is>
      </c>
      <c r="I27" s="443" t="n"/>
      <c r="J27" s="457" t="inlineStr">
        <is>
          <t>(USD)</t>
        </is>
      </c>
      <c r="K27" s="457" t="inlineStr">
        <is>
          <t>(USD)</t>
        </is>
      </c>
      <c r="L27" s="443" t="n"/>
      <c r="M27" s="104" t="n"/>
      <c r="N27" s="102" t="n"/>
      <c r="O27" s="99" t="n"/>
    </row>
    <row r="28" ht="12" customHeight="1">
      <c r="A28" s="83" t="n"/>
      <c r="O28" s="84" t="n"/>
    </row>
    <row r="29" ht="15.75" customHeight="1">
      <c r="A29" s="83" t="n"/>
      <c r="E29" s="204" t="inlineStr">
        <is>
          <t>NEW AUTOMOTIVE PARTS-AIR PUMP BRACKET</t>
        </is>
      </c>
      <c r="O29" s="84" t="n"/>
    </row>
    <row r="30" ht="12" customHeight="1">
      <c r="A30" s="83" t="n"/>
      <c r="O30" s="84" t="n"/>
    </row>
    <row r="31" ht="12" customHeight="1">
      <c r="A31" s="83" t="n"/>
      <c r="O31" s="84" t="n"/>
    </row>
    <row r="32" ht="12" customHeight="1">
      <c r="A32" s="83" t="n"/>
      <c r="O32" s="84" t="n"/>
    </row>
    <row r="33" ht="12" customHeight="1">
      <c r="A33" s="83" t="n"/>
      <c r="O33" s="84" t="n"/>
    </row>
    <row r="34" ht="12" customHeight="1">
      <c r="A34" s="83" t="n"/>
      <c r="O34" s="84" t="n"/>
    </row>
    <row r="35" ht="12" customHeight="1">
      <c r="A35" s="83" t="n"/>
      <c r="O35" s="84" t="n"/>
    </row>
    <row r="36" ht="12" customHeight="1">
      <c r="A36" s="83" t="n"/>
      <c r="O36" s="84" t="n"/>
    </row>
    <row r="37" ht="12" customHeight="1">
      <c r="A37" s="83" t="n"/>
      <c r="O37" s="84" t="n"/>
    </row>
    <row r="38" ht="12" customHeight="1">
      <c r="A38" s="83" t="n"/>
      <c r="O38" s="84" t="n"/>
    </row>
    <row r="39" ht="12" customHeight="1">
      <c r="A39" s="83" t="n"/>
      <c r="O39" s="84" t="n"/>
    </row>
    <row r="40" ht="12" customHeight="1">
      <c r="A40" s="83" t="n"/>
      <c r="O40" s="84" t="n"/>
    </row>
    <row r="41" ht="12" customHeight="1">
      <c r="A41" s="83" t="n"/>
      <c r="O41" s="84" t="n"/>
    </row>
    <row r="42" ht="12" customHeight="1">
      <c r="A42" s="83" t="n"/>
      <c r="O42" s="84" t="n"/>
    </row>
    <row r="43" ht="12" customHeight="1">
      <c r="A43" s="83" t="n"/>
      <c r="O43" s="84" t="n"/>
    </row>
    <row r="44" ht="12" customHeight="1">
      <c r="A44" s="83" t="n"/>
      <c r="O44" s="84" t="n"/>
    </row>
    <row r="45" ht="12" customHeight="1">
      <c r="A45" s="83" t="n"/>
      <c r="O45" s="84" t="n"/>
    </row>
    <row r="46" ht="12" customHeight="1">
      <c r="A46" s="83" t="n"/>
      <c r="O46" s="84" t="n"/>
    </row>
    <row r="47" ht="12" customHeight="1">
      <c r="A47" s="83" t="n"/>
      <c r="O47" s="84" t="n"/>
    </row>
    <row r="48" ht="12" customHeight="1">
      <c r="A48" s="83" t="n"/>
      <c r="O48" s="84" t="n"/>
    </row>
    <row r="49" ht="12" customHeight="1">
      <c r="A49" s="83" t="n"/>
      <c r="O49" s="84" t="n"/>
    </row>
    <row r="50" ht="16.5" customHeight="1">
      <c r="A50" s="83" t="n"/>
      <c r="O50" s="84" t="n"/>
    </row>
    <row r="51" ht="12" customHeight="1">
      <c r="A51" s="83" t="n"/>
      <c r="O51" s="84" t="n"/>
    </row>
    <row r="52" ht="12" customHeight="1">
      <c r="A52" s="83" t="n"/>
      <c r="O52" s="84" t="n"/>
    </row>
    <row r="53" ht="12" customHeight="1">
      <c r="A53" s="83" t="n"/>
      <c r="O53" s="84" t="n"/>
    </row>
    <row r="54" ht="12" customHeight="1">
      <c r="A54" s="83" t="n"/>
      <c r="O54" s="84" t="n"/>
    </row>
    <row r="55" ht="12" customHeight="1">
      <c r="A55" s="83" t="n"/>
      <c r="O55" s="84" t="n"/>
    </row>
    <row r="56" ht="12" customHeight="1">
      <c r="A56" s="83" t="n"/>
      <c r="I56" s="46" t="n"/>
      <c r="J56" s="4" t="n"/>
      <c r="K56" s="3" t="n"/>
      <c r="L56" s="3" t="n"/>
      <c r="O56" s="84" t="n"/>
    </row>
    <row r="57" ht="12" customHeight="1">
      <c r="A57" s="83" t="n"/>
      <c r="I57" s="46" t="n"/>
      <c r="J57" s="4" t="n"/>
      <c r="K57" s="3" t="n"/>
      <c r="L57" s="3" t="n"/>
      <c r="O57" s="84" t="n"/>
    </row>
    <row r="58" ht="12" customHeight="1">
      <c r="A58" s="83" t="n"/>
      <c r="I58" s="46" t="n"/>
      <c r="J58" s="4" t="n"/>
      <c r="K58" s="3" t="n"/>
      <c r="L58" s="3" t="n"/>
      <c r="O58" s="84" t="n"/>
    </row>
    <row r="59" ht="12" customHeight="1">
      <c r="A59" s="83" t="n"/>
      <c r="I59" s="46" t="n"/>
      <c r="J59" s="4" t="n"/>
      <c r="K59" s="3" t="n"/>
      <c r="L59" s="3" t="n"/>
      <c r="O59" s="84" t="n"/>
    </row>
    <row r="60" ht="12" customHeight="1">
      <c r="A60" s="83" t="n"/>
      <c r="B60" s="36" t="inlineStr">
        <is>
          <t xml:space="preserve">15.Address : </t>
        </is>
      </c>
      <c r="I60" s="49" t="n"/>
      <c r="J60" s="4" t="n"/>
      <c r="K60" s="3" t="n"/>
      <c r="L60" s="3" t="n"/>
      <c r="O60" s="84" t="n"/>
    </row>
    <row r="61" ht="12" customHeight="1">
      <c r="A61" s="83" t="n"/>
      <c r="B61" s="55" t="inlineStr">
        <is>
          <t xml:space="preserve">   KYUNG CHANG PRECISION IND. CO., LTD.</t>
        </is>
      </c>
      <c r="I61" s="49" t="n"/>
      <c r="J61" s="4" t="n"/>
      <c r="K61" s="3" t="n"/>
      <c r="L61" s="3" t="n"/>
      <c r="O61" s="84" t="n"/>
    </row>
    <row r="62" ht="12" customHeight="1">
      <c r="A62" s="83" t="n"/>
      <c r="B62" s="55" t="inlineStr">
        <is>
          <t xml:space="preserve">   149 Gukgasandan-daero 33-gil, Guji-myeon, </t>
        </is>
      </c>
      <c r="I62" s="36" t="n"/>
      <c r="J62" s="3" t="n"/>
      <c r="K62" s="3" t="n"/>
      <c r="O62" s="84" t="n"/>
    </row>
    <row r="63" ht="12" customHeight="1">
      <c r="A63" s="83" t="n"/>
      <c r="B63" s="55" t="inlineStr">
        <is>
          <t xml:space="preserve">   Dalseong-gun, Daegu</t>
        </is>
      </c>
      <c r="I63" s="36" t="n"/>
      <c r="J63" s="3" t="n"/>
      <c r="K63" s="3" t="n"/>
      <c r="L63" s="3" t="n"/>
      <c r="O63" s="84" t="n"/>
    </row>
    <row r="64" ht="12" customHeight="1">
      <c r="A64" s="83" t="n"/>
      <c r="B64" s="36" t="inlineStr">
        <is>
          <t xml:space="preserve">   (tel) : 82-53-589-0133</t>
        </is>
      </c>
      <c r="I64" s="36" t="n"/>
      <c r="J64" s="3" t="n"/>
      <c r="K64" s="3" t="n"/>
      <c r="L64" s="3" t="n"/>
      <c r="O64" s="84" t="n"/>
    </row>
    <row r="65" ht="12" customHeight="1">
      <c r="A65" s="83" t="n"/>
      <c r="B65" s="36" t="inlineStr">
        <is>
          <t xml:space="preserve">   (fax) : 82-53-582-1786</t>
        </is>
      </c>
      <c r="I65" s="36" t="n"/>
      <c r="J65" s="3" t="n"/>
      <c r="K65" s="3" t="n"/>
      <c r="L65" s="3" t="n"/>
      <c r="O65" s="84" t="n"/>
    </row>
    <row r="66" ht="12" customHeight="1" thickBot="1">
      <c r="A66" s="88" t="n"/>
      <c r="B66" s="89" t="n"/>
      <c r="C66" s="89" t="n"/>
      <c r="D66" s="89" t="n"/>
      <c r="E66" s="89" t="n"/>
      <c r="F66" s="89" t="n"/>
      <c r="G66" s="89" t="n"/>
      <c r="H66" s="89" t="n"/>
      <c r="I66" s="89" t="n"/>
      <c r="J66" s="5" t="n"/>
      <c r="K66" s="91" t="n"/>
      <c r="L66" s="91" t="n"/>
      <c r="M66" s="89" t="n"/>
      <c r="N66" s="89" t="n"/>
      <c r="O66" s="92" t="n"/>
    </row>
    <row r="67">
      <c r="I67" s="36" t="n"/>
    </row>
    <row r="78" ht="15" customHeight="1">
      <c r="P78" s="3" t="n"/>
    </row>
  </sheetData>
  <mergeCells count="10">
    <mergeCell ref="D19:F19"/>
    <mergeCell ref="K2:M2"/>
    <mergeCell ref="D23:F23"/>
    <mergeCell ref="D18:F18"/>
    <mergeCell ref="A1:O1"/>
    <mergeCell ref="K27:L27"/>
    <mergeCell ref="A18:C18"/>
    <mergeCell ref="H27:I27"/>
    <mergeCell ref="D20:F20"/>
    <mergeCell ref="A23:C24"/>
  </mergeCells>
  <printOptions horizontalCentered="1" verticalCentered="1"/>
  <pageMargins left="0.3543307086614174" right="0.3543307086614174" top="0.5" bottom="0.7874015748031497" header="0.28" footer="0.5118110236220472"/>
  <pageSetup orientation="portrait" paperSize="9" scale="82" horizontalDpi="300" verticalDpi="300"/>
  <headerFooter alignWithMargins="0">
    <oddHeader/>
    <oddFooter>&amp;C&amp;"Courier New,보통"&amp;9 Kyung Chang Precision Ind.Co.,Ltd&amp;R&amp;"Courier New,보통"&amp;8 A4(210×297)mm</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5"/>
    <outlinePr summaryBelow="1" summaryRight="1"/>
    <pageSetUpPr/>
  </sheetPr>
  <dimension ref="A1:S66"/>
  <sheetViews>
    <sheetView showGridLines="0" view="pageBreakPreview" zoomScaleNormal="100" zoomScaleSheetLayoutView="100" workbookViewId="0">
      <selection activeCell="H3" sqref="H3"/>
    </sheetView>
  </sheetViews>
  <sheetFormatPr baseColWidth="8" defaultColWidth="5.77734375" defaultRowHeight="12.75"/>
  <cols>
    <col width="5.77734375" customWidth="1" style="36" min="1" max="3"/>
    <col width="5.21875" customWidth="1" style="36" min="4" max="4"/>
    <col width="5.77734375" customWidth="1" style="36" min="5" max="5"/>
    <col width="7" customWidth="1" style="36" min="6" max="6"/>
    <col width="1.44140625" customWidth="1" style="36" min="7" max="7"/>
    <col width="5.77734375" customWidth="1" style="36" min="8" max="8"/>
    <col width="3.88671875" customWidth="1" style="47" min="9" max="9"/>
    <col width="5.77734375" customWidth="1" style="36" min="10" max="10"/>
    <col width="9.77734375" customWidth="1" style="36" min="11" max="11"/>
    <col width="11.33203125" customWidth="1" style="36" min="12" max="12"/>
    <col width="8.44140625" customWidth="1" style="36" min="13" max="13"/>
    <col width="6.77734375" customWidth="1" style="36" min="14" max="15"/>
    <col width="5.77734375" customWidth="1" style="36" min="16" max="16384"/>
  </cols>
  <sheetData>
    <row r="1" ht="35.25" customFormat="1" customHeight="1" s="44">
      <c r="A1" s="437" t="inlineStr">
        <is>
          <t>PACKING LIST</t>
        </is>
      </c>
      <c r="B1" s="438" t="n"/>
      <c r="C1" s="438" t="n"/>
      <c r="D1" s="438" t="n"/>
      <c r="E1" s="438" t="n"/>
      <c r="F1" s="438" t="n"/>
      <c r="G1" s="438" t="n"/>
      <c r="H1" s="438" t="n"/>
      <c r="I1" s="438" t="n"/>
      <c r="J1" s="438" t="n"/>
      <c r="K1" s="438" t="n"/>
      <c r="L1" s="438" t="n"/>
      <c r="M1" s="438" t="n"/>
      <c r="N1" s="438" t="n"/>
      <c r="O1" s="439" t="n"/>
      <c r="P1" s="43" t="n"/>
    </row>
    <row r="2" ht="21" customFormat="1" customHeight="1" s="55">
      <c r="A2" s="81" t="inlineStr">
        <is>
          <t>KYUNG CHANG IND. CO.,LTD</t>
        </is>
      </c>
      <c r="B2" s="50" t="n"/>
      <c r="C2" s="50" t="n"/>
      <c r="D2" s="50" t="n"/>
      <c r="E2" s="50" t="n"/>
      <c r="F2" s="51" t="n"/>
      <c r="G2" s="52" t="n"/>
      <c r="H2" s="121" t="inlineStr">
        <is>
          <t>KCR26-06</t>
        </is>
      </c>
      <c r="I2" s="54" t="n"/>
      <c r="J2" s="53" t="n"/>
      <c r="K2" s="440" t="n">
        <v>46076</v>
      </c>
      <c r="L2" s="441" t="n"/>
      <c r="M2" s="441" t="n"/>
      <c r="N2" s="53" t="n"/>
      <c r="O2" s="82" t="n"/>
    </row>
    <row r="3">
      <c r="A3" s="83" t="inlineStr">
        <is>
          <t>1. For Account &amp; Risk of Messers</t>
        </is>
      </c>
      <c r="F3" s="38" t="n"/>
      <c r="G3" s="37" t="inlineStr">
        <is>
          <t>7. Remarks</t>
        </is>
      </c>
      <c r="O3" s="84" t="n"/>
    </row>
    <row r="4">
      <c r="A4" s="45" t="inlineStr">
        <is>
          <t xml:space="preserve">BORGWARNER TURBO AND EMISSIONS SYSTEMS DE </t>
        </is>
      </c>
      <c r="F4" s="38" t="n"/>
      <c r="G4" s="37" t="n"/>
      <c r="O4" s="84" t="n"/>
    </row>
    <row r="5">
      <c r="A5" s="36" t="inlineStr">
        <is>
          <t>MEXICO SA DE CV</t>
        </is>
      </c>
      <c r="F5" s="38" t="n"/>
      <c r="G5" s="37" t="n"/>
      <c r="O5" s="84" t="n"/>
    </row>
    <row r="6">
      <c r="A6" s="45" t="inlineStr">
        <is>
          <t>BLVD. KAPPA No. Ext. 1125</t>
        </is>
      </c>
      <c r="F6" s="38" t="n"/>
      <c r="G6" s="37" t="n"/>
      <c r="O6" s="84" t="n"/>
    </row>
    <row r="7">
      <c r="A7" s="45" t="inlineStr">
        <is>
          <t xml:space="preserve">COL. PARQUE INDUSTRIAL SANTA MARIA, </t>
        </is>
      </c>
      <c r="F7" s="38" t="n"/>
      <c r="G7" s="37" t="n"/>
      <c r="O7" s="84" t="n"/>
    </row>
    <row r="8">
      <c r="A8" s="36" t="inlineStr">
        <is>
          <t>RAMOS ARIZPE C.P.</t>
        </is>
      </c>
      <c r="F8" s="38" t="n"/>
      <c r="G8" s="37" t="n"/>
      <c r="O8" s="84" t="n"/>
    </row>
    <row r="9">
      <c r="A9" s="45" t="inlineStr">
        <is>
          <t>25903 COAHUILA DE ZARAGOZA MEXICO</t>
        </is>
      </c>
      <c r="F9" s="38" t="n"/>
      <c r="G9" s="37" t="n"/>
      <c r="O9" s="84" t="n"/>
    </row>
    <row r="10">
      <c r="F10" s="38" t="n"/>
      <c r="G10" s="37" t="n"/>
      <c r="O10" s="84" t="n"/>
    </row>
    <row r="11">
      <c r="A11" s="83" t="inlineStr">
        <is>
          <t xml:space="preserve">   Attention : Jose Luis Zamora.</t>
        </is>
      </c>
      <c r="F11" s="38" t="n"/>
      <c r="G11" s="37" t="n"/>
      <c r="O11" s="84" t="n"/>
    </row>
    <row r="12">
      <c r="A12" s="85" t="inlineStr">
        <is>
          <t>2. Notify party</t>
        </is>
      </c>
      <c r="B12" s="35" t="n"/>
      <c r="C12" s="35" t="n"/>
      <c r="D12" s="35" t="n"/>
      <c r="E12" s="35" t="n"/>
      <c r="F12" s="39" t="n"/>
      <c r="G12" s="37" t="n"/>
      <c r="O12" s="84" t="n"/>
    </row>
    <row r="13" ht="6" customHeight="1">
      <c r="A13" s="83" t="n"/>
      <c r="F13" s="38" t="n"/>
      <c r="G13" s="37" t="n"/>
      <c r="O13" s="84" t="n"/>
    </row>
    <row r="14">
      <c r="A14" s="45" t="inlineStr">
        <is>
          <t xml:space="preserve">   Same as Above</t>
        </is>
      </c>
      <c r="F14" s="38" t="n"/>
      <c r="G14" s="37" t="n"/>
      <c r="O14" s="84" t="n"/>
    </row>
    <row r="15">
      <c r="A15" s="86" t="n"/>
      <c r="B15" s="41" t="n"/>
      <c r="C15" s="41" t="n"/>
      <c r="D15" s="41" t="n"/>
      <c r="E15" s="41" t="n"/>
      <c r="F15" s="42" t="n"/>
      <c r="G15" s="37" t="n"/>
      <c r="O15" s="84" t="n"/>
    </row>
    <row r="16" ht="13.5" customHeight="1">
      <c r="A16" s="85" t="inlineStr">
        <is>
          <t>3. Port of Loading</t>
        </is>
      </c>
      <c r="B16" s="35" t="n"/>
      <c r="C16" s="39" t="n"/>
      <c r="D16" s="34" t="inlineStr">
        <is>
          <t>4. Final Destination</t>
        </is>
      </c>
      <c r="E16" s="35" t="n"/>
      <c r="F16" s="39" t="n"/>
      <c r="G16" s="37" t="n"/>
      <c r="H16" s="243" t="inlineStr">
        <is>
          <t xml:space="preserve">  SA# : 2550000334</t>
        </is>
      </c>
      <c r="O16" s="84" t="n"/>
    </row>
    <row r="17" ht="6" customHeight="1">
      <c r="A17" s="83" t="n"/>
      <c r="C17" s="38" t="n"/>
      <c r="D17" s="37" t="n"/>
      <c r="F17" s="38" t="n"/>
      <c r="G17" s="37" t="n"/>
      <c r="O17" s="84" t="n"/>
    </row>
    <row r="18" ht="13.5" customHeight="1">
      <c r="A18" s="442" t="inlineStr">
        <is>
          <t>BUSAN, KOREA</t>
        </is>
      </c>
      <c r="C18" s="443" t="n"/>
      <c r="D18" s="444" t="n"/>
      <c r="F18" s="443" t="n"/>
      <c r="G18" s="37" t="n"/>
      <c r="H18" s="243" t="inlineStr">
        <is>
          <t xml:space="preserve">  Tax ID : 503-81-32693</t>
        </is>
      </c>
      <c r="O18" s="84" t="n"/>
    </row>
    <row r="19">
      <c r="A19" s="83" t="n"/>
      <c r="C19" s="38" t="n"/>
      <c r="D19" s="444" t="inlineStr">
        <is>
          <t>FOB</t>
        </is>
      </c>
      <c r="F19" s="443" t="n"/>
      <c r="G19" s="37" t="n"/>
      <c r="O19" s="84" t="n"/>
    </row>
    <row r="20">
      <c r="A20" s="86" t="n"/>
      <c r="B20" s="41" t="n"/>
      <c r="C20" s="42" t="n"/>
      <c r="D20" s="445" t="n"/>
      <c r="E20" s="446" t="n"/>
      <c r="F20" s="447" t="n"/>
      <c r="G20" s="37" t="n"/>
      <c r="O20" s="84" t="n"/>
    </row>
    <row r="21">
      <c r="A21" s="83" t="inlineStr">
        <is>
          <t>5. Carrier</t>
        </is>
      </c>
      <c r="D21" s="34" t="inlineStr">
        <is>
          <t>6. Sailing Date</t>
        </is>
      </c>
      <c r="E21" s="35" t="n"/>
      <c r="F21" s="39" t="n"/>
      <c r="G21" s="34" t="n"/>
      <c r="H21" s="35" t="inlineStr">
        <is>
          <t>Terms of delivery and payment</t>
        </is>
      </c>
      <c r="I21" s="231" t="n"/>
      <c r="J21" s="35" t="n"/>
      <c r="K21" s="35" t="n"/>
      <c r="L21" s="35" t="n"/>
      <c r="M21" s="35" t="n"/>
      <c r="N21" s="35" t="n"/>
      <c r="O21" s="232" t="n"/>
    </row>
    <row r="22" ht="3.75" customHeight="1">
      <c r="A22" s="83" t="n"/>
      <c r="D22" s="37" t="n"/>
      <c r="F22" s="38" t="n"/>
      <c r="G22" s="37" t="n"/>
      <c r="O22" s="84" t="n"/>
    </row>
    <row r="23" ht="12.75" customHeight="1">
      <c r="A23" s="448" t="n"/>
      <c r="C23" s="443" t="n"/>
      <c r="D23" s="449" t="n"/>
      <c r="F23" s="443" t="n"/>
      <c r="G23" s="37" t="n"/>
      <c r="H23" s="187" t="n"/>
      <c r="O23" s="84" t="n"/>
      <c r="S23" s="36" t="inlineStr">
        <is>
          <t xml:space="preserve">                                                                                                       </t>
        </is>
      </c>
    </row>
    <row r="24">
      <c r="A24" s="450" t="n"/>
      <c r="B24" s="446" t="n"/>
      <c r="C24" s="447" t="n"/>
      <c r="D24" s="40" t="n"/>
      <c r="E24" s="41" t="n"/>
      <c r="F24" s="42" t="n"/>
      <c r="G24" s="40" t="n"/>
      <c r="H24" s="41" t="n"/>
      <c r="I24" s="48" t="n"/>
      <c r="J24" s="41" t="n"/>
      <c r="K24" s="41" t="n"/>
      <c r="L24" s="41" t="n"/>
      <c r="M24" s="41" t="n"/>
      <c r="N24" s="41" t="n"/>
      <c r="O24" s="87" t="n"/>
    </row>
    <row r="25">
      <c r="A25" s="451" t="inlineStr">
        <is>
          <t>8.Marks and Numbers of PKGS</t>
        </is>
      </c>
      <c r="B25" s="94" t="n"/>
      <c r="C25" s="94" t="n"/>
      <c r="D25" s="95" t="n"/>
      <c r="E25" s="452" t="inlineStr">
        <is>
          <t>9.Description of</t>
        </is>
      </c>
      <c r="F25" s="94" t="n"/>
      <c r="G25" s="95" t="n"/>
      <c r="H25" s="452" t="inlineStr">
        <is>
          <t>10.Quantity</t>
        </is>
      </c>
      <c r="I25" s="96" t="n"/>
      <c r="J25" s="453" t="inlineStr">
        <is>
          <t>11.Box</t>
        </is>
      </c>
      <c r="K25" s="453" t="inlineStr">
        <is>
          <t>12.Net</t>
        </is>
      </c>
      <c r="L25" s="453" t="inlineStr">
        <is>
          <t>13.Gross</t>
        </is>
      </c>
      <c r="M25" s="455" t="inlineStr">
        <is>
          <t>14.Measure-</t>
        </is>
      </c>
      <c r="N25" s="453" t="inlineStr">
        <is>
          <t>15.P.O.#</t>
        </is>
      </c>
      <c r="O25" s="458" t="inlineStr">
        <is>
          <t>16.RAN#</t>
        </is>
      </c>
    </row>
    <row r="26" ht="9.949999999999999" customHeight="1">
      <c r="A26" s="93" t="n"/>
      <c r="B26" s="94" t="n"/>
      <c r="C26" s="94" t="n"/>
      <c r="D26" s="100" t="n"/>
      <c r="E26" s="452" t="inlineStr">
        <is>
          <t xml:space="preserve">   Goods</t>
        </is>
      </c>
      <c r="F26" s="94" t="n"/>
      <c r="G26" s="100" t="n"/>
      <c r="H26" s="94" t="n"/>
      <c r="I26" s="101" t="n"/>
      <c r="J26" s="102" t="n"/>
      <c r="K26" s="456" t="inlineStr">
        <is>
          <t xml:space="preserve">   Weight</t>
        </is>
      </c>
      <c r="L26" s="456" t="inlineStr">
        <is>
          <t xml:space="preserve">   Weight</t>
        </is>
      </c>
      <c r="M26" s="459" t="inlineStr">
        <is>
          <t xml:space="preserve">   ment</t>
        </is>
      </c>
      <c r="N26" s="102" t="n"/>
      <c r="O26" s="99" t="n"/>
    </row>
    <row r="27" ht="9.949999999999999" customHeight="1">
      <c r="A27" s="93" t="n"/>
      <c r="B27" s="94" t="n"/>
      <c r="C27" s="94" t="n"/>
      <c r="D27" s="100" t="n"/>
      <c r="E27" s="94" t="n"/>
      <c r="F27" s="94" t="n"/>
      <c r="G27" s="100" t="n"/>
      <c r="H27" s="457" t="inlineStr">
        <is>
          <t xml:space="preserve">    (pcs)</t>
        </is>
      </c>
      <c r="I27" s="443" t="n"/>
      <c r="J27" s="457" t="inlineStr">
        <is>
          <t xml:space="preserve">  (pcs)</t>
        </is>
      </c>
      <c r="K27" s="457" t="inlineStr">
        <is>
          <t xml:space="preserve">   (kg)</t>
        </is>
      </c>
      <c r="L27" s="456" t="inlineStr">
        <is>
          <t xml:space="preserve">   (kg)</t>
        </is>
      </c>
      <c r="M27" s="457" t="inlineStr">
        <is>
          <t xml:space="preserve"> (CBM)</t>
        </is>
      </c>
      <c r="N27" s="102" t="n"/>
      <c r="O27" s="99" t="n"/>
    </row>
    <row r="28" ht="12" customHeight="1">
      <c r="A28" s="83" t="n"/>
      <c r="O28" s="84" t="n"/>
    </row>
    <row r="29" ht="16.5" customHeight="1">
      <c r="A29" s="83" t="n"/>
      <c r="E29" s="204" t="inlineStr">
        <is>
          <t>NEW AUTOMOTIVE PARTS-AIR PUMP BRACKET</t>
        </is>
      </c>
      <c r="O29" s="84" t="n"/>
    </row>
    <row r="30" ht="12" customHeight="1">
      <c r="A30" s="83" t="n"/>
      <c r="O30" s="84" t="n"/>
    </row>
    <row r="31" ht="12" customHeight="1">
      <c r="A31" s="83" t="n"/>
      <c r="O31" s="84" t="n"/>
    </row>
    <row r="32" ht="12" customHeight="1">
      <c r="A32" s="83" t="n"/>
      <c r="O32" s="84" t="n"/>
    </row>
    <row r="33" ht="12" customHeight="1">
      <c r="A33" s="83" t="n"/>
      <c r="O33" s="84" t="n"/>
    </row>
    <row r="34" ht="12" customHeight="1">
      <c r="A34" s="83" t="n"/>
      <c r="O34" s="84" t="n"/>
    </row>
    <row r="35" ht="12" customHeight="1">
      <c r="A35" s="83" t="n"/>
      <c r="O35" s="84" t="n"/>
    </row>
    <row r="36" ht="12" customHeight="1">
      <c r="A36" s="83" t="n"/>
      <c r="O36" s="84" t="n"/>
    </row>
    <row r="37" ht="12" customHeight="1">
      <c r="A37" s="83" t="n"/>
      <c r="O37" s="84" t="n"/>
    </row>
    <row r="38" ht="12" customHeight="1">
      <c r="A38" s="83" t="n"/>
      <c r="O38" s="84" t="n"/>
    </row>
    <row r="39" ht="12" customHeight="1">
      <c r="A39" s="83" t="n"/>
      <c r="O39" s="84" t="n"/>
    </row>
    <row r="40" ht="12" customHeight="1">
      <c r="A40" s="83" t="n"/>
      <c r="O40" s="84" t="n"/>
    </row>
    <row r="41" ht="12" customHeight="1">
      <c r="A41" s="83" t="n"/>
      <c r="O41" s="84" t="n"/>
    </row>
    <row r="42" ht="12" customHeight="1">
      <c r="A42" s="83" t="n"/>
      <c r="O42" s="84" t="n"/>
    </row>
    <row r="43" ht="12" customHeight="1">
      <c r="A43" s="83" t="n"/>
      <c r="O43" s="84" t="n"/>
    </row>
    <row r="44" ht="12" customHeight="1">
      <c r="A44" s="83" t="n"/>
      <c r="O44" s="84" t="n"/>
    </row>
    <row r="45" ht="12" customHeight="1">
      <c r="A45" s="83" t="n"/>
      <c r="O45" s="84" t="n"/>
    </row>
    <row r="46" ht="12" customHeight="1">
      <c r="A46" s="83" t="n"/>
      <c r="O46" s="84" t="n"/>
    </row>
    <row r="47" ht="12" customHeight="1">
      <c r="A47" s="83" t="n"/>
      <c r="O47" s="84" t="n"/>
    </row>
    <row r="48" ht="12" customHeight="1">
      <c r="A48" s="83" t="n"/>
      <c r="O48" s="84" t="n"/>
    </row>
    <row r="49" ht="12" customHeight="1">
      <c r="A49" s="83" t="n"/>
      <c r="O49" s="84" t="n"/>
    </row>
    <row r="50" ht="12" customHeight="1">
      <c r="A50" s="83" t="n"/>
      <c r="O50" s="84" t="n"/>
    </row>
    <row r="51" ht="12" customHeight="1">
      <c r="A51" s="83" t="n"/>
      <c r="O51" s="84" t="n"/>
    </row>
    <row r="52" ht="12" customHeight="1">
      <c r="A52" s="83" t="n"/>
      <c r="O52" s="84" t="n"/>
    </row>
    <row r="53" ht="12" customHeight="1">
      <c r="A53" s="83" t="n"/>
      <c r="O53" s="84" t="n"/>
    </row>
    <row r="54" ht="36" customHeight="1">
      <c r="A54" s="83" t="n"/>
      <c r="O54" s="84" t="n"/>
    </row>
    <row r="55" ht="12" customHeight="1">
      <c r="A55" s="83" t="n"/>
      <c r="O55" s="84" t="n"/>
    </row>
    <row r="56" ht="12" customHeight="1">
      <c r="A56" s="83" t="n"/>
      <c r="I56" s="46" t="n"/>
      <c r="J56" s="4" t="n"/>
      <c r="K56" s="3" t="n"/>
      <c r="L56" s="3" t="n"/>
      <c r="O56" s="84" t="n"/>
    </row>
    <row r="57" ht="12" customHeight="1">
      <c r="A57" s="83" t="n"/>
      <c r="I57" s="46" t="n"/>
      <c r="J57" s="4" t="n"/>
      <c r="K57" s="3" t="n"/>
      <c r="L57" s="3" t="n"/>
      <c r="O57" s="84" t="n"/>
    </row>
    <row r="58" ht="12" customHeight="1">
      <c r="A58" s="83" t="n"/>
      <c r="I58" s="46" t="n"/>
      <c r="J58" s="4" t="n"/>
      <c r="K58" s="3" t="n"/>
      <c r="L58" s="3" t="n"/>
      <c r="O58" s="84" t="n"/>
    </row>
    <row r="59" ht="12" customHeight="1">
      <c r="A59" s="83" t="n"/>
      <c r="I59" s="46" t="n"/>
      <c r="J59" s="4" t="n"/>
      <c r="K59" s="3" t="n"/>
      <c r="L59" s="3" t="n"/>
      <c r="O59" s="84" t="n"/>
    </row>
    <row r="60" ht="12" customHeight="1">
      <c r="A60" s="83" t="n"/>
      <c r="I60" s="49" t="n"/>
      <c r="J60" s="4" t="n"/>
      <c r="K60" s="3" t="n"/>
      <c r="L60" s="3" t="n"/>
      <c r="O60" s="84" t="n"/>
    </row>
    <row r="61" ht="12" customHeight="1">
      <c r="A61" s="83" t="n"/>
      <c r="B61" s="36" t="inlineStr">
        <is>
          <t xml:space="preserve">17.Address : </t>
        </is>
      </c>
      <c r="I61" s="49" t="n"/>
      <c r="J61" s="4" t="n"/>
      <c r="K61" s="3" t="n"/>
      <c r="L61" s="3" t="n"/>
      <c r="O61" s="84" t="n"/>
    </row>
    <row r="62" ht="12" customHeight="1">
      <c r="A62" s="83" t="n"/>
      <c r="B62" s="55" t="inlineStr">
        <is>
          <t xml:space="preserve">   149 Gukgasandan-daero 33-gil, Guji-myeon, </t>
        </is>
      </c>
      <c r="I62" s="49" t="n"/>
      <c r="J62" s="3" t="n"/>
      <c r="K62" s="3" t="n"/>
      <c r="L62" s="3" t="n"/>
      <c r="O62" s="84" t="n"/>
    </row>
    <row r="63" ht="12" customHeight="1">
      <c r="A63" s="83" t="n"/>
      <c r="B63" s="55" t="inlineStr">
        <is>
          <t xml:space="preserve">   Dalseong-gun, Daegu</t>
        </is>
      </c>
      <c r="I63" s="49" t="n"/>
      <c r="J63" s="3" t="n"/>
      <c r="K63" s="3" t="n"/>
      <c r="L63" s="3" t="n"/>
      <c r="O63" s="84" t="n"/>
    </row>
    <row r="64" ht="12" customHeight="1">
      <c r="A64" s="83" t="n"/>
      <c r="B64" s="55" t="inlineStr">
        <is>
          <t xml:space="preserve">   DAEGU, KOREA.</t>
        </is>
      </c>
      <c r="I64" s="49" t="n"/>
      <c r="J64" s="3" t="n"/>
      <c r="K64" s="3" t="n"/>
      <c r="L64" s="3" t="n"/>
      <c r="O64" s="84" t="n"/>
    </row>
    <row r="65" ht="12" customHeight="1">
      <c r="A65" s="83" t="n"/>
      <c r="B65" s="36" t="inlineStr">
        <is>
          <t xml:space="preserve">   (tel) : 82-53-589-0168</t>
        </is>
      </c>
      <c r="I65" s="49" t="n"/>
      <c r="J65" s="3" t="n"/>
      <c r="K65" s="3" t="n"/>
      <c r="L65" s="3" t="n"/>
      <c r="O65" s="84" t="n"/>
    </row>
    <row r="66" ht="12" customHeight="1" thickBot="1">
      <c r="A66" s="88" t="n"/>
      <c r="B66" s="89" t="n"/>
      <c r="C66" s="89" t="n"/>
      <c r="D66" s="89" t="n"/>
      <c r="E66" s="89" t="inlineStr">
        <is>
          <t xml:space="preserve">   (fax) : 82-53-582-1786</t>
        </is>
      </c>
      <c r="F66" s="89" t="n"/>
      <c r="G66" s="89" t="n"/>
      <c r="H66" s="89" t="n"/>
      <c r="I66" s="90" t="n"/>
      <c r="J66" s="5" t="n"/>
      <c r="K66" s="91" t="n"/>
      <c r="L66" s="91" t="n"/>
      <c r="M66" s="89" t="n"/>
      <c r="N66" s="89" t="n"/>
      <c r="O66" s="92" t="n"/>
    </row>
  </sheetData>
  <mergeCells count="9">
    <mergeCell ref="D19:F19"/>
    <mergeCell ref="K2:M2"/>
    <mergeCell ref="D23:F23"/>
    <mergeCell ref="D18:F18"/>
    <mergeCell ref="A1:O1"/>
    <mergeCell ref="A18:C18"/>
    <mergeCell ref="H27:I27"/>
    <mergeCell ref="D20:F20"/>
    <mergeCell ref="A23:C24"/>
  </mergeCells>
  <printOptions horizontalCentered="1"/>
  <pageMargins left="0.3543307086614174" right="0.3543307086614174" top="0.84" bottom="0.7874015748031497" header="0.57" footer="0.5118110236220472"/>
  <pageSetup orientation="portrait" paperSize="9" scale="83"/>
  <headerFooter alignWithMargins="0">
    <oddHeader/>
    <oddFooter>&amp;C&amp;"Courier New,보통"&amp;9 Kyung Chang Precision Ind.Co.,Ltd&amp;R&amp;"Courier New,보통"&amp;8 A4(210×297)mm</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6"/>
  <sheetViews>
    <sheetView showGridLines="0" workbookViewId="0">
      <selection activeCell="A2" sqref="A1:IV65536"/>
    </sheetView>
  </sheetViews>
  <sheetFormatPr baseColWidth="8" defaultRowHeight="20.1" customHeight="1"/>
  <cols>
    <col width="14.33203125" customWidth="1" style="75" min="1" max="1"/>
    <col width="9.5546875" customWidth="1" style="75" min="2" max="2"/>
    <col width="10" customWidth="1" style="460" min="3" max="3"/>
    <col width="14.44140625" customWidth="1" style="75" min="4" max="4"/>
    <col width="12.5546875" customWidth="1" style="75" min="5" max="5"/>
    <col width="9.77734375" customWidth="1" style="75" min="6" max="6"/>
    <col width="8.88671875" customWidth="1" style="75" min="7" max="7"/>
    <col width="16.88671875" customWidth="1" style="75" min="8" max="8"/>
    <col width="8.88671875" customWidth="1" style="75" min="9" max="16384"/>
  </cols>
  <sheetData>
    <row r="1" ht="23.1" customHeight="1">
      <c r="A1" s="122">
        <f>MASTER!B2</f>
        <v/>
      </c>
      <c r="B1" s="461">
        <f>VLOOKUP(A1,MASTER!$B$2:$N$16,2,FALSE)</f>
        <v/>
      </c>
      <c r="C1" s="462">
        <f>VLOOKUP(A1,MASTER!$B$2:$N$16,10,FALSE)</f>
        <v/>
      </c>
      <c r="D1" s="463">
        <f>B1*C1</f>
        <v/>
      </c>
      <c r="E1" s="145">
        <f>VLOOKUP(A1,MASTER!$B$2:$N$16,11,FALSE)</f>
        <v/>
      </c>
      <c r="F1" s="464">
        <f>VLOOKUP(A1,MASTER!$B$2:$N$16,3,FALSE)</f>
        <v/>
      </c>
      <c r="H1" s="107" t="n"/>
    </row>
    <row r="2" ht="23.1" customHeight="1">
      <c r="A2" s="122">
        <f>MASTER!B3</f>
        <v/>
      </c>
      <c r="B2" s="461">
        <f>VLOOKUP(A2,MASTER!$B$2:$N$16,2,FALSE)</f>
        <v/>
      </c>
      <c r="C2" s="462">
        <f>VLOOKUP(A2,MASTER!$B$2:$N$16,10,FALSE)</f>
        <v/>
      </c>
      <c r="D2" s="463">
        <f>B2*C2</f>
        <v/>
      </c>
      <c r="E2" s="145">
        <f>VLOOKUP(A2,MASTER!$B$2:$N$16,11,FALSE)</f>
        <v/>
      </c>
      <c r="F2" s="464">
        <f>VLOOKUP(A2,MASTER!$B$2:$N$16,3,FALSE)</f>
        <v/>
      </c>
      <c r="H2" s="107" t="n"/>
    </row>
    <row r="3" ht="19.5" customHeight="1">
      <c r="A3" s="125" t="inlineStr">
        <is>
          <t>TOTAL</t>
        </is>
      </c>
      <c r="B3" s="461">
        <f>SUM(B1:B2)</f>
        <v/>
      </c>
      <c r="C3" s="465" t="n"/>
      <c r="D3" s="466">
        <f>SUM(D1:D2)</f>
        <v/>
      </c>
      <c r="E3" s="144" t="n"/>
      <c r="F3" s="128" t="n"/>
    </row>
    <row r="4" ht="20.1" customHeight="1">
      <c r="A4" s="108" t="n"/>
      <c r="B4" s="109" t="n"/>
      <c r="C4" s="467" t="n"/>
    </row>
    <row r="5" ht="20.1" customHeight="1">
      <c r="A5" s="111" t="n"/>
      <c r="B5" s="109" t="n"/>
      <c r="C5" s="467" t="n"/>
    </row>
    <row r="6" ht="20.1" customHeight="1">
      <c r="A6" s="112" t="n"/>
      <c r="B6" s="109" t="n"/>
      <c r="C6" s="467" t="n"/>
    </row>
  </sheetData>
  <printOptions horizontalCentered="1"/>
  <pageMargins left="0.23" right="0.68" top="0.77" bottom="1" header="0.5" footer="0.5"/>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9"/>
  <sheetViews>
    <sheetView showGridLines="0" workbookViewId="0">
      <selection activeCell="A2" sqref="A1:IV65536"/>
    </sheetView>
  </sheetViews>
  <sheetFormatPr baseColWidth="8" defaultRowHeight="13.5"/>
  <cols>
    <col width="14.44140625" customWidth="1" style="4" min="1" max="1"/>
    <col width="9.6640625" customWidth="1" style="80" min="2" max="2"/>
    <col width="7.5546875" bestFit="1" customWidth="1" style="80" min="3" max="3"/>
    <col width="12.21875" customWidth="1" style="4" min="4" max="4"/>
    <col width="12" customWidth="1" style="80" min="5" max="5"/>
    <col width="8.33203125" customWidth="1" style="4" min="6" max="6"/>
    <col width="13.44140625" customWidth="1" style="117" min="7" max="7"/>
    <col width="5.5546875" bestFit="1" customWidth="1" style="80" min="8" max="8"/>
    <col width="4" customWidth="1" style="4" min="9" max="9"/>
    <col width="3.21875" customWidth="1" style="4" min="10" max="10"/>
    <col width="15.33203125" customWidth="1" style="117" min="11" max="11"/>
    <col width="8.88671875" customWidth="1" style="4" min="12" max="16384"/>
  </cols>
  <sheetData>
    <row r="1" ht="24.95" customHeight="1">
      <c r="A1" s="122">
        <f>MASTER!B2</f>
        <v/>
      </c>
      <c r="B1" s="468">
        <f>VLOOKUP(A1,MASTER!$B$2:$N$16,2,FALSE)</f>
        <v/>
      </c>
      <c r="C1" s="468">
        <f>VLOOKUP(A1,MASTER!$B$2:$N$16,6,FALSE)</f>
        <v/>
      </c>
      <c r="D1" s="469">
        <f>B1*K1</f>
        <v/>
      </c>
      <c r="E1" s="470">
        <f>D1*1.023</f>
        <v/>
      </c>
      <c r="F1" s="469">
        <f>MASTER!Q2</f>
        <v/>
      </c>
      <c r="G1" s="144">
        <f>VLOOKUP(A1,MASTER!$B$2:$N$16,11,FALSE)</f>
        <v/>
      </c>
      <c r="H1" s="468">
        <f>VLOOKUP(A1,MASTER!$B$2:$N$16,3,FALSE)</f>
        <v/>
      </c>
      <c r="K1" s="471">
        <f>VLOOKUP(A1,MASTER!$B$2:$N$16,12,FALSE)</f>
        <v/>
      </c>
    </row>
    <row r="2" ht="24" customHeight="1">
      <c r="A2" s="122">
        <f>MASTER!B3</f>
        <v/>
      </c>
      <c r="B2" s="468">
        <f>VLOOKUP(A2,MASTER!$B$2:$N$16,2,FALSE)</f>
        <v/>
      </c>
      <c r="C2" s="468">
        <f>VLOOKUP(A2,MASTER!$B$2:$N$16,6,FALSE)</f>
        <v/>
      </c>
      <c r="D2" s="469">
        <f>B2*K2</f>
        <v/>
      </c>
      <c r="E2" s="470">
        <f>D2*1.023</f>
        <v/>
      </c>
      <c r="F2" s="469">
        <f>MASTER!Q3</f>
        <v/>
      </c>
      <c r="G2" s="144">
        <f>VLOOKUP(A2,MASTER!$B$2:$N$16,11,FALSE)</f>
        <v/>
      </c>
      <c r="H2" s="468">
        <f>VLOOKUP(A2,MASTER!$B$2:$N$16,3,FALSE)</f>
        <v/>
      </c>
      <c r="K2" s="471">
        <f>VLOOKUP(A2,MASTER!$B$2:$N$16,12,FALSE)</f>
        <v/>
      </c>
    </row>
    <row r="3" ht="27" customFormat="1" customHeight="1" s="117">
      <c r="A3" s="281" t="inlineStr">
        <is>
          <t>TOTAL</t>
        </is>
      </c>
      <c r="B3" s="472">
        <f>SUM(B1:B2)</f>
        <v/>
      </c>
      <c r="C3" s="472">
        <f>SUM(C1:C2)</f>
        <v/>
      </c>
      <c r="D3" s="472">
        <f>SUM(D1:D2)</f>
        <v/>
      </c>
      <c r="E3" s="472">
        <f>SUM(E1:E2)</f>
        <v/>
      </c>
      <c r="F3" s="472">
        <f>SUM(F1:F2)</f>
        <v/>
      </c>
      <c r="G3" s="472" t="n"/>
      <c r="H3" s="472" t="n"/>
      <c r="I3" s="473" t="n"/>
      <c r="J3" s="120" t="n"/>
      <c r="K3" s="473" t="n"/>
    </row>
    <row r="4" ht="18" customHeight="1">
      <c r="A4" s="14" t="n"/>
      <c r="B4" s="76" t="n"/>
      <c r="C4" s="76" t="n"/>
      <c r="D4" s="14" t="n"/>
      <c r="E4" s="76" t="n"/>
      <c r="F4" s="14" t="n"/>
      <c r="G4" s="107" t="n"/>
      <c r="H4" s="76" t="n"/>
      <c r="I4" s="474" t="n"/>
      <c r="J4" s="79" t="n"/>
      <c r="K4" s="475" t="n"/>
    </row>
    <row r="5">
      <c r="A5" s="14" t="n"/>
      <c r="B5" s="76" t="n"/>
      <c r="C5" s="76" t="n"/>
      <c r="D5" s="14" t="n"/>
      <c r="E5" s="76" t="n"/>
      <c r="F5" s="14" t="n"/>
      <c r="G5" s="107" t="n"/>
      <c r="H5" s="76" t="n"/>
      <c r="I5" s="474" t="n"/>
      <c r="J5" s="79" t="n"/>
      <c r="K5" s="475" t="n"/>
    </row>
    <row r="7">
      <c r="E7" s="77" t="inlineStr">
        <is>
          <t>가로</t>
        </is>
      </c>
      <c r="F7" s="75" t="inlineStr">
        <is>
          <t>세로</t>
        </is>
      </c>
      <c r="G7" s="118" t="inlineStr">
        <is>
          <t>높이</t>
        </is>
      </c>
    </row>
    <row r="8">
      <c r="D8" s="4" t="inlineStr">
        <is>
          <t>Pallet</t>
        </is>
      </c>
      <c r="E8" s="80" t="n">
        <v>1100</v>
      </c>
      <c r="F8" s="4" t="n">
        <v>1100</v>
      </c>
      <c r="G8" s="117" t="n">
        <v>1000</v>
      </c>
    </row>
    <row r="9">
      <c r="E9" s="80">
        <f>E8/1000</f>
        <v/>
      </c>
      <c r="F9" s="4">
        <f>F8/1000</f>
        <v/>
      </c>
      <c r="G9" s="117">
        <f>G8/1000</f>
        <v/>
      </c>
      <c r="K9" s="117">
        <f>E9*F9*G9</f>
        <v/>
      </c>
    </row>
  </sheetData>
  <pageMargins left="0.75" right="0.75" top="1" bottom="1" header="0.5" footer="0.5"/>
  <pageSetup orientation="portrait" paperSize="9" horizontalDpi="4294967292" verticalDpi="300"/>
</worksheet>
</file>

<file path=xl/worksheets/sheet5.xml><?xml version="1.0" encoding="utf-8"?>
<worksheet xmlns="http://schemas.openxmlformats.org/spreadsheetml/2006/main">
  <sheetPr>
    <outlinePr summaryBelow="1" summaryRight="1"/>
    <pageSetUpPr/>
  </sheetPr>
  <dimension ref="A1:K35"/>
  <sheetViews>
    <sheetView showGridLines="0" zoomScaleNormal="100" workbookViewId="0">
      <selection activeCell="L34" sqref="L34"/>
    </sheetView>
  </sheetViews>
  <sheetFormatPr baseColWidth="8" defaultRowHeight="13.5"/>
  <cols>
    <col width="3.6640625" customWidth="1" min="1" max="1"/>
    <col width="11.33203125" customWidth="1" style="14" min="2" max="2"/>
    <col width="3.5546875" customWidth="1" min="3" max="3"/>
    <col width="1.5546875" customWidth="1" style="2" min="4" max="4"/>
    <col width="6" customWidth="1" style="1" min="5" max="5"/>
    <col width="11.88671875" customWidth="1" style="15" min="6" max="6"/>
    <col width="5.33203125" customWidth="1" min="7" max="7"/>
    <col hidden="1" width="12.21875" customWidth="1" min="8" max="8"/>
    <col hidden="1" min="9" max="11"/>
  </cols>
  <sheetData>
    <row r="1" ht="15.75" customHeight="1">
      <c r="A1" s="7" t="n"/>
      <c r="D1" s="7" t="n"/>
      <c r="E1" s="14" t="n"/>
      <c r="H1" s="14" t="n"/>
      <c r="I1" s="16" t="n"/>
      <c r="J1" s="17" t="n"/>
      <c r="K1" s="476" t="n"/>
    </row>
    <row r="2" ht="15" customFormat="1" customHeight="1" s="1">
      <c r="A2" s="19" t="n"/>
      <c r="B2" s="14" t="n"/>
      <c r="C2" s="19" t="n">
        <v>1</v>
      </c>
      <c r="D2" s="194" t="n"/>
      <c r="E2" s="55" t="inlineStr">
        <is>
          <t>PN   :</t>
        </is>
      </c>
      <c r="F2" s="195">
        <f>MASTER!B2</f>
        <v/>
      </c>
      <c r="H2" s="14" t="inlineStr">
        <is>
          <t>49R-1897</t>
        </is>
      </c>
      <c r="I2" s="477" t="n"/>
      <c r="J2" s="478" t="n"/>
      <c r="K2" s="479" t="n"/>
    </row>
    <row r="3" ht="12" customFormat="1" customHeight="1" s="1">
      <c r="A3" s="19" t="n">
        <v>1</v>
      </c>
      <c r="B3" s="26">
        <f>MASTER!B1</f>
        <v/>
      </c>
      <c r="C3" s="19" t="n"/>
      <c r="D3" s="194" t="n"/>
      <c r="E3" s="55" t="inlineStr">
        <is>
          <t>Q'TY :</t>
        </is>
      </c>
      <c r="F3" s="196">
        <f>VLOOKUP(F2,MASTER!$B$2:$M$16,5,FALSE)</f>
        <v/>
      </c>
      <c r="H3" s="14" t="inlineStr">
        <is>
          <t>34R-15044</t>
        </is>
      </c>
      <c r="I3" s="477" t="n"/>
      <c r="J3" s="478" t="n"/>
      <c r="K3" s="479" t="n"/>
    </row>
    <row r="4" ht="12" customFormat="1" customHeight="1" s="1">
      <c r="A4" s="19" t="n">
        <v>2</v>
      </c>
      <c r="B4" s="26" t="inlineStr">
        <is>
          <t>=MASTER!B2</t>
        </is>
      </c>
      <c r="C4" s="19" t="n"/>
      <c r="D4" s="194" t="n"/>
      <c r="E4" s="55" t="inlineStr">
        <is>
          <t>C/NO :</t>
        </is>
      </c>
      <c r="F4" s="480">
        <f>VLOOKUP(F2,MASTER!$B$2:$M$16,6,FALSE)</f>
        <v/>
      </c>
      <c r="H4" s="14" t="inlineStr">
        <is>
          <t>11100011A</t>
        </is>
      </c>
      <c r="I4" s="477" t="n"/>
      <c r="J4" s="478" t="n"/>
      <c r="K4" s="479" t="n"/>
    </row>
    <row r="5" ht="12" customFormat="1" customHeight="1" s="1">
      <c r="A5" s="19" t="n">
        <v>3</v>
      </c>
      <c r="B5" s="26">
        <f>MASTER!#REF!</f>
        <v/>
      </c>
      <c r="C5" s="19" t="n"/>
      <c r="D5" s="194" t="n"/>
      <c r="E5" s="55" t="inlineStr">
        <is>
          <t>MADE IN KOREA</t>
        </is>
      </c>
      <c r="F5" s="196" t="n"/>
      <c r="H5" s="14" t="inlineStr">
        <is>
          <t>11100044A</t>
        </is>
      </c>
      <c r="I5" s="477" t="n"/>
      <c r="J5" s="478" t="n"/>
      <c r="K5" s="479" t="n"/>
    </row>
    <row r="6" ht="15" customFormat="1" customHeight="1" s="1">
      <c r="A6" s="19" t="n"/>
      <c r="B6" s="14" t="n"/>
      <c r="C6" s="19" t="n">
        <v>1</v>
      </c>
      <c r="D6" s="194" t="n"/>
      <c r="E6" s="55" t="inlineStr">
        <is>
          <t>PN   :</t>
        </is>
      </c>
      <c r="F6" s="195" t="inlineStr">
        <is>
          <t>E3870015347A0</t>
        </is>
      </c>
      <c r="H6" s="14" t="inlineStr">
        <is>
          <t>49R-1897</t>
        </is>
      </c>
      <c r="I6" s="477" t="n"/>
      <c r="J6" s="478" t="n"/>
      <c r="K6" s="479" t="n"/>
    </row>
    <row r="7" ht="12" customFormat="1" customHeight="1" s="1">
      <c r="A7" s="19" t="n">
        <v>1</v>
      </c>
      <c r="B7" s="26">
        <f>MASTER!B5</f>
        <v/>
      </c>
      <c r="C7" s="19" t="n"/>
      <c r="D7" s="194" t="n"/>
      <c r="E7" s="55" t="inlineStr">
        <is>
          <t>Q'TY :</t>
        </is>
      </c>
      <c r="F7" s="196">
        <f>VLOOKUP(F6,MASTER!$B$2:$M$16,5,FALSE)</f>
        <v/>
      </c>
      <c r="H7" s="14" t="inlineStr">
        <is>
          <t>34R-15044</t>
        </is>
      </c>
      <c r="I7" s="477" t="n"/>
      <c r="J7" s="478" t="n"/>
      <c r="K7" s="479" t="n"/>
    </row>
    <row r="8" ht="12" customFormat="1" customHeight="1" s="1">
      <c r="A8" s="19" t="n">
        <v>2</v>
      </c>
      <c r="B8" s="26" t="inlineStr">
        <is>
          <t>=MASTER!B2</t>
        </is>
      </c>
      <c r="C8" s="19" t="n"/>
      <c r="D8" s="194" t="n"/>
      <c r="E8" s="55" t="inlineStr">
        <is>
          <t>C/NO :</t>
        </is>
      </c>
      <c r="F8" s="480">
        <f>VLOOKUP(F6,MASTER!$B$2:$M$16,6,FALSE)</f>
        <v/>
      </c>
      <c r="H8" s="14" t="inlineStr">
        <is>
          <t>11100011A</t>
        </is>
      </c>
      <c r="I8" s="477" t="n"/>
      <c r="J8" s="478" t="n"/>
      <c r="K8" s="479" t="n"/>
    </row>
    <row r="9" ht="15.75" customFormat="1" customHeight="1" s="1">
      <c r="A9" s="19" t="n">
        <v>3</v>
      </c>
      <c r="B9" s="26">
        <f>MASTER!#REF!</f>
        <v/>
      </c>
      <c r="C9" s="19" t="n"/>
      <c r="D9" s="194" t="n"/>
      <c r="E9" s="55" t="inlineStr">
        <is>
          <t>MADE IN KOREA</t>
        </is>
      </c>
      <c r="F9" s="196" t="n"/>
      <c r="H9" s="14" t="inlineStr">
        <is>
          <t>11100044A</t>
        </is>
      </c>
      <c r="I9" s="477" t="n"/>
      <c r="J9" s="478" t="n"/>
      <c r="K9" s="479" t="n"/>
    </row>
    <row r="10" ht="12" customFormat="1" customHeight="1" s="1">
      <c r="B10" s="26">
        <f>MASTER!B49</f>
        <v/>
      </c>
      <c r="D10" s="266" t="inlineStr">
        <is>
          <t>----------------------</t>
        </is>
      </c>
    </row>
    <row r="11" customFormat="1" s="1">
      <c r="B11" s="14" t="n"/>
      <c r="D11" s="196">
        <f>"  TOTAL "&amp;MASTER!G19&amp;" PALLETS"</f>
        <v/>
      </c>
      <c r="E11" s="194" t="n"/>
      <c r="F11" s="196" t="n"/>
    </row>
    <row r="12">
      <c r="D12" s="196">
        <f>"( TOTAL "&amp;MASTER!G18&amp;" CARTONS)"</f>
        <v/>
      </c>
      <c r="E12" s="194" t="n"/>
      <c r="F12" s="196" t="n"/>
      <c r="H12" s="27">
        <f>MASTER!G18</f>
        <v/>
      </c>
    </row>
    <row r="14" ht="15.75" customHeight="1">
      <c r="E14" s="6" t="n"/>
      <c r="G14" s="1" t="n"/>
      <c r="H14" s="481" t="n"/>
    </row>
    <row r="15" ht="15.75" customHeight="1">
      <c r="C15" s="6" t="n"/>
      <c r="E15" s="481" t="n"/>
      <c r="G15" s="1" t="n"/>
      <c r="H15" s="481" t="n"/>
    </row>
    <row r="16" ht="15.75" customHeight="1">
      <c r="C16" s="6" t="n"/>
      <c r="E16" s="481" t="n"/>
      <c r="G16" s="1" t="n"/>
      <c r="H16" s="481" t="n"/>
    </row>
    <row r="17" ht="15.75" customHeight="1">
      <c r="C17" s="6" t="n"/>
      <c r="E17" s="481" t="n"/>
      <c r="F17" s="122" t="n"/>
      <c r="G17" s="1" t="n"/>
      <c r="H17" s="481" t="n"/>
    </row>
    <row r="18" ht="15.75" customHeight="1">
      <c r="C18" s="6" t="n"/>
      <c r="E18" s="481" t="n"/>
      <c r="F18" s="122" t="n"/>
      <c r="G18" s="1" t="n"/>
      <c r="H18" s="481" t="n"/>
    </row>
    <row r="19" ht="15.75" customHeight="1">
      <c r="C19" s="6" t="n"/>
      <c r="E19" s="481" t="n"/>
      <c r="F19" s="122" t="n"/>
      <c r="G19" s="1" t="n"/>
      <c r="H19" s="481" t="n"/>
    </row>
    <row r="20" ht="15.75" customHeight="1">
      <c r="C20" s="6" t="n"/>
      <c r="E20" s="481" t="n"/>
      <c r="F20" s="122" t="n"/>
      <c r="G20" s="1" t="n"/>
      <c r="H20" s="481" t="n"/>
    </row>
    <row r="21" ht="15.75" customHeight="1">
      <c r="C21" s="6" t="n"/>
      <c r="E21" s="481" t="n"/>
      <c r="F21" s="122" t="n"/>
      <c r="G21" s="1" t="n"/>
      <c r="H21" s="481" t="n"/>
    </row>
    <row r="22" ht="15.75" customHeight="1">
      <c r="C22" s="6" t="n"/>
      <c r="E22" s="481" t="n"/>
      <c r="F22" s="122" t="n"/>
      <c r="G22" s="1" t="n"/>
      <c r="H22" s="481" t="n"/>
    </row>
    <row r="23" ht="15.75" customHeight="1">
      <c r="C23" s="6" t="n"/>
      <c r="E23" s="481" t="n"/>
      <c r="F23" s="122" t="n"/>
      <c r="G23" s="1" t="n"/>
      <c r="H23" s="481" t="n"/>
    </row>
    <row r="24" ht="15.75" customHeight="1">
      <c r="C24" s="6" t="n"/>
      <c r="E24" s="481" t="n"/>
      <c r="F24" s="122" t="n"/>
      <c r="G24" s="1" t="n"/>
      <c r="H24" s="481" t="n"/>
    </row>
    <row r="25" ht="15.75" customHeight="1">
      <c r="F25" s="122" t="n"/>
    </row>
    <row r="26" ht="15.75" customHeight="1">
      <c r="C26" s="6" t="n"/>
      <c r="E26" s="481" t="n"/>
      <c r="F26" s="122" t="n"/>
      <c r="G26" s="1" t="n"/>
      <c r="H26" s="481" t="n"/>
    </row>
    <row r="27" ht="15.75" customHeight="1">
      <c r="C27" s="6" t="n"/>
      <c r="E27" s="481" t="n"/>
      <c r="F27" s="122" t="n"/>
      <c r="G27" s="1" t="n"/>
      <c r="H27" s="481" t="n"/>
    </row>
    <row r="28" ht="15" customHeight="1">
      <c r="C28" s="3" t="n"/>
      <c r="E28" s="482" t="n"/>
      <c r="H28" s="481" t="n"/>
    </row>
    <row r="29">
      <c r="H29" s="481" t="n"/>
    </row>
    <row r="30">
      <c r="H30" s="481" t="n"/>
    </row>
    <row r="31">
      <c r="H31" s="481" t="n"/>
    </row>
    <row r="32">
      <c r="H32" s="481" t="n"/>
    </row>
    <row r="33">
      <c r="H33" s="483" t="n"/>
    </row>
    <row r="34">
      <c r="H34" s="483" t="n"/>
    </row>
    <row r="35">
      <c r="H35" s="483" t="n"/>
    </row>
  </sheetData>
  <mergeCells count="1">
    <mergeCell ref="D10:F10"/>
  </mergeCells>
  <pageMargins left="0.75" right="0.75" top="1" bottom="1" header="0.5" footer="0.5"/>
  <pageSetup orientation="portrait" paperSize="9" horizontalDpi="4294967292" verticalDpi="300"/>
</worksheet>
</file>

<file path=xl/worksheets/sheet6.xml><?xml version="1.0" encoding="utf-8"?>
<worksheet xmlns="http://schemas.openxmlformats.org/spreadsheetml/2006/main">
  <sheetPr>
    <outlinePr summaryBelow="1" summaryRight="1"/>
    <pageSetUpPr/>
  </sheetPr>
  <dimension ref="B2:C37"/>
  <sheetViews>
    <sheetView workbookViewId="0">
      <selection activeCell="B3" sqref="B3"/>
    </sheetView>
  </sheetViews>
  <sheetFormatPr baseColWidth="8" defaultRowHeight="14.25"/>
  <cols>
    <col width="8.88671875" customWidth="1" style="8" min="1" max="1"/>
    <col width="12.6640625" bestFit="1" customWidth="1" style="8" min="2" max="2"/>
    <col width="8.88671875" customWidth="1" style="8" min="3" max="16384"/>
  </cols>
  <sheetData>
    <row r="2">
      <c r="C2" s="8" t="inlineStr">
        <is>
          <t>pcs/skid</t>
        </is>
      </c>
    </row>
    <row r="3">
      <c r="B3" s="8" t="inlineStr">
        <is>
          <t>E1490001119</t>
        </is>
      </c>
      <c r="C3" s="8" t="n">
        <v>576</v>
      </c>
    </row>
    <row r="4">
      <c r="B4" s="8" t="inlineStr">
        <is>
          <t>E1490001135</t>
        </is>
      </c>
      <c r="C4" s="8" t="n">
        <v>360</v>
      </c>
    </row>
    <row r="5">
      <c r="B5" s="8" t="inlineStr">
        <is>
          <t>E1490001136</t>
        </is>
      </c>
      <c r="C5" s="8" t="n">
        <v>432</v>
      </c>
    </row>
    <row r="6">
      <c r="B6" s="8" t="inlineStr">
        <is>
          <t>E1490001141</t>
        </is>
      </c>
      <c r="C6" s="8" t="n">
        <v>720</v>
      </c>
    </row>
    <row r="7">
      <c r="B7" s="8" t="inlineStr">
        <is>
          <t>E1490001134</t>
        </is>
      </c>
      <c r="C7" s="8" t="n">
        <v>432</v>
      </c>
    </row>
    <row r="8">
      <c r="B8" s="8" t="inlineStr">
        <is>
          <t>14900186K</t>
        </is>
      </c>
      <c r="C8" s="8" t="n">
        <v>900</v>
      </c>
    </row>
    <row r="9">
      <c r="B9" s="8" t="inlineStr">
        <is>
          <t>E1490001132</t>
        </is>
      </c>
      <c r="C9" s="8" t="n">
        <v>540</v>
      </c>
    </row>
    <row r="10">
      <c r="B10" s="8" t="inlineStr">
        <is>
          <t>E1490001121</t>
        </is>
      </c>
      <c r="C10" s="8" t="n">
        <v>360</v>
      </c>
    </row>
    <row r="11">
      <c r="B11" s="8" t="inlineStr">
        <is>
          <t>E1490001144</t>
        </is>
      </c>
      <c r="C11" s="8" t="n">
        <v>864</v>
      </c>
    </row>
    <row r="12">
      <c r="B12" s="8" t="inlineStr">
        <is>
          <t>E1490001125</t>
        </is>
      </c>
      <c r="C12" s="8" t="n">
        <v>144</v>
      </c>
    </row>
    <row r="13">
      <c r="B13" s="8" t="inlineStr">
        <is>
          <t>E1490001142</t>
        </is>
      </c>
      <c r="C13" s="8" t="n">
        <v>240</v>
      </c>
    </row>
    <row r="14">
      <c r="B14" s="8" t="inlineStr">
        <is>
          <t>E1490001199</t>
        </is>
      </c>
      <c r="C14" s="8" t="n">
        <v>320</v>
      </c>
    </row>
    <row r="15">
      <c r="B15" s="8" t="inlineStr">
        <is>
          <t>E1490001149</t>
        </is>
      </c>
      <c r="C15" s="8" t="n">
        <v>160</v>
      </c>
    </row>
    <row r="16">
      <c r="B16" s="8" t="inlineStr">
        <is>
          <t>E1590001025</t>
        </is>
      </c>
      <c r="C16" s="8" t="n">
        <v>6840</v>
      </c>
    </row>
    <row r="17">
      <c r="B17" s="8" t="inlineStr">
        <is>
          <t>C1490001238</t>
        </is>
      </c>
      <c r="C17" s="8" t="n">
        <v>750</v>
      </c>
    </row>
    <row r="18">
      <c r="B18" s="8" t="inlineStr">
        <is>
          <t>E1490001111</t>
        </is>
      </c>
      <c r="C18" s="8" t="n">
        <v>1200</v>
      </c>
    </row>
    <row r="19">
      <c r="B19" s="8" t="inlineStr">
        <is>
          <t>E1490001287</t>
        </is>
      </c>
      <c r="C19" s="8" t="n">
        <v>210</v>
      </c>
    </row>
    <row r="20">
      <c r="B20" s="8" t="inlineStr">
        <is>
          <t>E1490001235</t>
        </is>
      </c>
      <c r="C20" s="8" t="n">
        <v>210</v>
      </c>
    </row>
    <row r="21">
      <c r="B21" s="8" t="inlineStr">
        <is>
          <t>E1490001272</t>
        </is>
      </c>
      <c r="C21" s="8" t="n">
        <v>210</v>
      </c>
    </row>
    <row r="22">
      <c r="B22" s="8" t="inlineStr">
        <is>
          <t>C1490001268</t>
        </is>
      </c>
      <c r="C22" s="8" t="n">
        <v>300</v>
      </c>
    </row>
    <row r="23">
      <c r="B23" s="8" t="inlineStr">
        <is>
          <t>E1490001261</t>
        </is>
      </c>
      <c r="C23" s="8" t="n">
        <v>240</v>
      </c>
    </row>
    <row r="24">
      <c r="B24" s="8" t="inlineStr">
        <is>
          <t>E1490001275</t>
        </is>
      </c>
      <c r="C24" s="8" t="n">
        <v>160</v>
      </c>
    </row>
    <row r="25">
      <c r="B25" s="8" t="inlineStr">
        <is>
          <t>E1490001232</t>
        </is>
      </c>
      <c r="C25" s="8" t="n">
        <v>480</v>
      </c>
    </row>
    <row r="26">
      <c r="B26" s="8" t="inlineStr">
        <is>
          <t>E1490001257</t>
        </is>
      </c>
      <c r="C26" s="8" t="n">
        <v>480</v>
      </c>
    </row>
    <row r="27">
      <c r="B27" s="8" t="inlineStr">
        <is>
          <t>E1490001293</t>
        </is>
      </c>
      <c r="C27" s="8" t="n">
        <v>210</v>
      </c>
    </row>
    <row r="28">
      <c r="B28" s="8" t="inlineStr">
        <is>
          <t>C1490001283</t>
        </is>
      </c>
      <c r="C28" s="8" t="n">
        <v>300</v>
      </c>
    </row>
    <row r="29">
      <c r="B29" s="8" t="inlineStr">
        <is>
          <t>E1490001266</t>
        </is>
      </c>
      <c r="C29" s="8" t="n">
        <v>660</v>
      </c>
    </row>
    <row r="30">
      <c r="B30" s="8" t="inlineStr">
        <is>
          <t>E1490001294</t>
        </is>
      </c>
      <c r="C30" s="8" t="n">
        <v>450</v>
      </c>
    </row>
    <row r="31">
      <c r="B31" s="8" t="inlineStr">
        <is>
          <t>E1490001262</t>
        </is>
      </c>
      <c r="C31" s="8" t="n">
        <v>1296</v>
      </c>
    </row>
    <row r="32">
      <c r="B32" s="8" t="inlineStr">
        <is>
          <t>E1490001229</t>
        </is>
      </c>
      <c r="C32" s="8" t="n">
        <v>288</v>
      </c>
    </row>
    <row r="33">
      <c r="B33" s="8" t="inlineStr">
        <is>
          <t>E1490001279</t>
        </is>
      </c>
      <c r="C33" s="8" t="n">
        <v>750</v>
      </c>
    </row>
    <row r="34">
      <c r="B34" s="8" t="inlineStr">
        <is>
          <t>E1490001153</t>
        </is>
      </c>
      <c r="C34" s="8" t="n">
        <v>1008</v>
      </c>
    </row>
    <row r="35">
      <c r="B35" s="8" t="inlineStr">
        <is>
          <t>E1490001146</t>
        </is>
      </c>
      <c r="C35" s="8" t="n">
        <v>1620</v>
      </c>
    </row>
    <row r="36">
      <c r="B36" s="8" t="inlineStr">
        <is>
          <t>E1490005081</t>
        </is>
      </c>
      <c r="C36" s="8" t="n">
        <v>540</v>
      </c>
    </row>
    <row r="37">
      <c r="B37" s="8" t="inlineStr">
        <is>
          <t>E1490010273</t>
        </is>
      </c>
      <c r="C37" s="8" t="n">
        <v>540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40"/>
  <sheetViews>
    <sheetView showGridLines="0" view="pageBreakPreview" topLeftCell="B1" zoomScale="85" zoomScaleNormal="95" zoomScaleSheetLayoutView="85" workbookViewId="0">
      <selection activeCell="G23" sqref="G23"/>
    </sheetView>
  </sheetViews>
  <sheetFormatPr baseColWidth="8" defaultRowHeight="14.25"/>
  <cols>
    <col width="4.88671875" customWidth="1" style="19" min="1" max="1"/>
    <col width="14.33203125" customWidth="1" style="9" min="2" max="2"/>
    <col width="7.6640625" customWidth="1" style="8" min="3" max="3"/>
    <col width="11.6640625" customWidth="1" style="8" min="4" max="4"/>
    <col width="9.88671875" customWidth="1" style="8" min="5" max="5"/>
    <col width="7.5546875" customWidth="1" style="8" min="6" max="6"/>
    <col width="5.88671875" customWidth="1" style="8" min="7" max="7"/>
    <col width="9.21875" customWidth="1" style="484" min="8" max="8"/>
    <col hidden="1" width="3.21875" customWidth="1" style="7" min="9" max="9"/>
    <col hidden="1" width="4.5546875" customWidth="1" style="8" min="10" max="10"/>
    <col width="11.44140625" customWidth="1" style="485" min="11" max="11"/>
    <col width="11.33203125" customWidth="1" style="7" min="12" max="12"/>
    <col width="8.109375" customWidth="1" style="8" min="13" max="13"/>
    <col width="11.33203125" customWidth="1" style="8" min="14" max="14"/>
    <col width="11.21875" customWidth="1" style="8" min="15" max="15"/>
    <col width="9.33203125" customWidth="1" style="8" min="16" max="16"/>
    <col width="9.6640625" customWidth="1" style="8" min="17" max="17"/>
    <col width="8.88671875" customWidth="1" style="8" min="18" max="30"/>
    <col width="11" customWidth="1" style="8" min="31" max="33"/>
    <col width="8.88671875" customWidth="1" style="8" min="34" max="16384"/>
  </cols>
  <sheetData>
    <row r="1" ht="24.75" customFormat="1" customHeight="1" s="32">
      <c r="A1" s="28" t="inlineStr">
        <is>
          <t>NO</t>
        </is>
      </c>
      <c r="B1" s="29" t="inlineStr">
        <is>
          <t>P/N</t>
        </is>
      </c>
      <c r="C1" s="28" t="inlineStr">
        <is>
          <t>QTY</t>
        </is>
      </c>
      <c r="D1" s="28" t="inlineStr">
        <is>
          <t>RAN</t>
        </is>
      </c>
      <c r="E1" s="28" t="inlineStr">
        <is>
          <t>CUM</t>
        </is>
      </c>
      <c r="F1" s="56" t="inlineStr">
        <is>
          <t>박스적입</t>
        </is>
      </c>
      <c r="G1" s="28" t="inlineStr">
        <is>
          <t>BOX_QTY</t>
        </is>
      </c>
      <c r="H1" s="486" t="inlineStr">
        <is>
          <t>DUE</t>
        </is>
      </c>
      <c r="I1" s="28" t="n"/>
      <c r="J1" s="28" t="n"/>
      <c r="K1" s="487" t="inlineStr">
        <is>
          <t>UNIT PRICE</t>
        </is>
      </c>
      <c r="L1" s="28" t="inlineStr">
        <is>
          <t>PO#</t>
        </is>
      </c>
      <c r="M1" s="29" t="inlineStr">
        <is>
          <t>NET WEIGHT</t>
        </is>
      </c>
      <c r="N1" s="29" t="inlineStr">
        <is>
          <t>Gross Weight</t>
        </is>
      </c>
      <c r="O1" s="29" t="inlineStr">
        <is>
          <t>pcs/skid</t>
        </is>
      </c>
      <c r="P1" s="29" t="inlineStr">
        <is>
          <t>Skid Qty</t>
        </is>
      </c>
      <c r="Q1" s="29" t="inlineStr">
        <is>
          <t>CBM</t>
        </is>
      </c>
    </row>
    <row r="2" ht="20.25" customFormat="1" customHeight="1" s="134">
      <c r="A2" s="213" t="n">
        <v>1</v>
      </c>
      <c r="B2" s="135" t="inlineStr">
        <is>
          <t>E3870015336A0</t>
        </is>
      </c>
      <c r="C2" s="136" t="n">
        <v>14400</v>
      </c>
      <c r="D2" s="136" t="n">
        <v>60</v>
      </c>
      <c r="E2" s="136" t="n"/>
      <c r="F2" s="137" t="n">
        <v>200</v>
      </c>
      <c r="G2" s="138">
        <f>C2/F2</f>
        <v/>
      </c>
      <c r="H2" s="137" t="n">
        <v>6080</v>
      </c>
      <c r="I2" s="137" t="n"/>
      <c r="J2" s="137" t="n"/>
      <c r="K2" s="488" t="n">
        <v>0.4653</v>
      </c>
      <c r="L2" s="137" t="n">
        <v>2550001216</v>
      </c>
      <c r="M2" s="136" t="n">
        <v>0.027</v>
      </c>
      <c r="N2" s="489">
        <f>M2*C2</f>
        <v/>
      </c>
      <c r="O2" s="141" t="n">
        <v>14400</v>
      </c>
      <c r="P2" s="141">
        <f>C2/O2</f>
        <v/>
      </c>
      <c r="Q2" s="141">
        <f>P2*1.21</f>
        <v/>
      </c>
    </row>
    <row r="3" ht="20.25" customFormat="1" customHeight="1" s="134">
      <c r="A3" s="213" t="n">
        <v>2</v>
      </c>
      <c r="B3" s="135" t="inlineStr">
        <is>
          <t>E3870015347A0</t>
        </is>
      </c>
      <c r="C3" s="136" t="n">
        <v>14400</v>
      </c>
      <c r="D3" s="136" t="n">
        <v>60</v>
      </c>
      <c r="E3" s="136" t="n"/>
      <c r="F3" s="137" t="n">
        <v>200</v>
      </c>
      <c r="G3" s="138">
        <f>C3/F3</f>
        <v/>
      </c>
      <c r="H3" s="137" t="n">
        <v>0</v>
      </c>
      <c r="I3" s="137" t="n"/>
      <c r="J3" s="137" t="n"/>
      <c r="K3" s="488" t="n">
        <v>0.3482</v>
      </c>
      <c r="L3" s="137" t="n">
        <v>2550001217</v>
      </c>
      <c r="M3" s="136" t="n">
        <v>0.025</v>
      </c>
      <c r="N3" s="489">
        <f>M3*C3</f>
        <v/>
      </c>
      <c r="O3" s="141" t="n">
        <v>14400</v>
      </c>
      <c r="P3" s="141">
        <f>C3/O3</f>
        <v/>
      </c>
      <c r="Q3" s="141">
        <f>P3*1.21</f>
        <v/>
      </c>
    </row>
    <row r="4" ht="20.25" customFormat="1" customHeight="1" s="134">
      <c r="A4" s="213" t="n">
        <v>3</v>
      </c>
      <c r="B4" s="135" t="n"/>
      <c r="C4" s="136" t="n"/>
      <c r="D4" s="136" t="n"/>
      <c r="E4" s="136" t="n"/>
      <c r="F4" s="137" t="n"/>
      <c r="G4" s="138" t="n"/>
      <c r="H4" s="490" t="n"/>
      <c r="I4" s="137" t="n"/>
      <c r="J4" s="137" t="n"/>
      <c r="K4" s="488" t="n"/>
      <c r="L4" s="137" t="n"/>
      <c r="M4" s="136" t="n"/>
      <c r="N4" s="489" t="n"/>
      <c r="O4" s="141" t="n"/>
      <c r="P4" s="141" t="n"/>
      <c r="Q4" s="141" t="n"/>
    </row>
    <row r="5" ht="20.25" customFormat="1" customHeight="1" s="134">
      <c r="A5" s="213" t="n">
        <v>4</v>
      </c>
      <c r="B5" s="135" t="n"/>
      <c r="C5" s="136" t="n"/>
      <c r="D5" s="136" t="n"/>
      <c r="E5" s="136" t="n"/>
      <c r="F5" s="137" t="n"/>
      <c r="G5" s="138" t="n"/>
      <c r="H5" s="490" t="n"/>
      <c r="I5" s="137" t="n"/>
      <c r="J5" s="137" t="n"/>
      <c r="K5" s="488" t="n"/>
      <c r="L5" s="137" t="n"/>
      <c r="M5" s="136" t="n"/>
      <c r="N5" s="489" t="n"/>
      <c r="O5" s="141" t="n"/>
      <c r="P5" s="141" t="n"/>
      <c r="Q5" s="141" t="n"/>
    </row>
    <row r="6" ht="20.25" customFormat="1" customHeight="1" s="134">
      <c r="A6" s="213" t="n">
        <v>5</v>
      </c>
      <c r="B6" s="135" t="n"/>
      <c r="C6" s="136" t="n"/>
      <c r="D6" s="136" t="n"/>
      <c r="E6" s="136" t="n"/>
      <c r="F6" s="137" t="n"/>
      <c r="G6" s="138" t="n"/>
      <c r="H6" s="490" t="n"/>
      <c r="I6" s="137" t="n"/>
      <c r="J6" s="137" t="n"/>
      <c r="K6" s="488" t="n"/>
      <c r="L6" s="137" t="n"/>
      <c r="M6" s="136" t="n"/>
      <c r="N6" s="489" t="n"/>
      <c r="O6" s="141" t="n"/>
      <c r="P6" s="141" t="n"/>
      <c r="Q6" s="141" t="n"/>
    </row>
    <row r="7" ht="20.25" customFormat="1" customHeight="1" s="134">
      <c r="A7" s="213" t="n"/>
      <c r="B7" s="135" t="n"/>
      <c r="C7" s="136" t="n"/>
      <c r="D7" s="136" t="n"/>
      <c r="E7" s="136" t="n"/>
      <c r="F7" s="137" t="n"/>
      <c r="G7" s="138" t="n"/>
      <c r="H7" s="490" t="n"/>
      <c r="I7" s="137" t="n"/>
      <c r="J7" s="137" t="n"/>
      <c r="K7" s="488" t="n"/>
      <c r="L7" s="137" t="n"/>
      <c r="M7" s="136" t="n"/>
      <c r="N7" s="489" t="n"/>
      <c r="O7" s="141" t="n"/>
      <c r="P7" s="141" t="n"/>
      <c r="Q7" s="141" t="n"/>
    </row>
    <row r="8" ht="20.25" customFormat="1" customHeight="1" s="134">
      <c r="A8" s="213" t="n">
        <v>6</v>
      </c>
      <c r="B8" s="135" t="n"/>
      <c r="C8" s="136" t="n"/>
      <c r="D8" s="136" t="n"/>
      <c r="E8" s="136" t="n"/>
      <c r="F8" s="137" t="n"/>
      <c r="G8" s="138" t="n"/>
      <c r="H8" s="490" t="n"/>
      <c r="I8" s="137" t="n"/>
      <c r="J8" s="137" t="n"/>
      <c r="K8" s="488" t="n"/>
      <c r="L8" s="137" t="n"/>
      <c r="M8" s="136" t="n"/>
      <c r="N8" s="489" t="n"/>
      <c r="O8" s="141" t="n"/>
      <c r="P8" s="141" t="n"/>
      <c r="Q8" s="141" t="n"/>
    </row>
    <row r="9" ht="20.25" customFormat="1" customHeight="1" s="134">
      <c r="A9" s="213" t="n">
        <v>7</v>
      </c>
      <c r="B9" s="135" t="n"/>
      <c r="C9" s="136" t="n"/>
      <c r="D9" s="136" t="n"/>
      <c r="E9" s="136" t="n"/>
      <c r="F9" s="137" t="n"/>
      <c r="G9" s="138" t="n"/>
      <c r="H9" s="490" t="n"/>
      <c r="I9" s="137" t="n"/>
      <c r="J9" s="137" t="n"/>
      <c r="K9" s="488" t="n"/>
      <c r="L9" s="137" t="n"/>
      <c r="M9" s="136" t="n"/>
      <c r="N9" s="489" t="n"/>
      <c r="O9" s="141" t="n"/>
      <c r="P9" s="242" t="n"/>
      <c r="Q9" s="141" t="n"/>
    </row>
    <row r="10" ht="20.25" customFormat="1" customHeight="1" s="134">
      <c r="A10" s="213" t="n">
        <v>8</v>
      </c>
      <c r="B10" s="135" t="n"/>
      <c r="C10" s="136" t="n"/>
      <c r="D10" s="136" t="n"/>
      <c r="E10" s="136" t="n"/>
      <c r="F10" s="137" t="n"/>
      <c r="G10" s="138" t="n"/>
      <c r="H10" s="490" t="n"/>
      <c r="I10" s="137" t="n"/>
      <c r="J10" s="137" t="n"/>
      <c r="K10" s="488" t="n"/>
      <c r="L10" s="137" t="n"/>
      <c r="M10" s="136" t="n"/>
      <c r="N10" s="489" t="n"/>
      <c r="O10" s="141" t="n"/>
      <c r="P10" s="141" t="n"/>
      <c r="Q10" s="141" t="n"/>
    </row>
    <row r="11" ht="20.25" customFormat="1" customHeight="1" s="134">
      <c r="A11" s="213" t="n">
        <v>9</v>
      </c>
      <c r="B11" s="135" t="n"/>
      <c r="C11" s="136" t="n"/>
      <c r="D11" s="136" t="n"/>
      <c r="E11" s="136" t="n"/>
      <c r="F11" s="137" t="n"/>
      <c r="G11" s="138" t="n"/>
      <c r="H11" s="490" t="n"/>
      <c r="I11" s="137" t="n"/>
      <c r="J11" s="137" t="n"/>
      <c r="K11" s="488" t="n"/>
      <c r="L11" s="137" t="n"/>
      <c r="M11" s="136" t="n"/>
      <c r="N11" s="489" t="n"/>
      <c r="O11" s="141" t="n"/>
      <c r="P11" s="141" t="n"/>
      <c r="Q11" s="141" t="n"/>
    </row>
    <row r="12" ht="20.25" customFormat="1" customHeight="1" s="134">
      <c r="A12" s="213" t="n">
        <v>10</v>
      </c>
      <c r="B12" s="135" t="n"/>
      <c r="C12" s="136" t="n"/>
      <c r="D12" s="136" t="n"/>
      <c r="E12" s="136" t="n"/>
      <c r="F12" s="137" t="n"/>
      <c r="G12" s="138" t="n"/>
      <c r="H12" s="490" t="n"/>
      <c r="I12" s="137" t="n"/>
      <c r="J12" s="137" t="n"/>
      <c r="K12" s="488" t="n"/>
      <c r="L12" s="137" t="n"/>
      <c r="M12" s="136" t="n"/>
      <c r="N12" s="489" t="n"/>
      <c r="O12" s="141" t="n"/>
      <c r="P12" s="141" t="n"/>
      <c r="Q12" s="141" t="n"/>
    </row>
    <row r="13" ht="20.25" customFormat="1" customHeight="1" s="134">
      <c r="A13" s="213" t="n">
        <v>11</v>
      </c>
      <c r="B13" s="135" t="n"/>
      <c r="C13" s="136" t="n"/>
      <c r="D13" s="136" t="n"/>
      <c r="E13" s="136" t="n"/>
      <c r="F13" s="137" t="n"/>
      <c r="G13" s="138" t="n"/>
      <c r="H13" s="490" t="n"/>
      <c r="I13" s="137" t="n"/>
      <c r="J13" s="137" t="n"/>
      <c r="K13" s="488" t="n"/>
      <c r="L13" s="137" t="n"/>
      <c r="M13" s="136" t="n"/>
      <c r="N13" s="489" t="n"/>
      <c r="O13" s="141" t="n"/>
      <c r="P13" s="141" t="n"/>
      <c r="Q13" s="141" t="n"/>
    </row>
    <row r="14" ht="20.25" customFormat="1" customHeight="1" s="134">
      <c r="A14" s="213" t="n">
        <v>12</v>
      </c>
      <c r="B14" s="135" t="n"/>
      <c r="C14" s="136" t="n"/>
      <c r="D14" s="136" t="n"/>
      <c r="E14" s="136" t="n"/>
      <c r="F14" s="137" t="n"/>
      <c r="G14" s="138" t="n"/>
      <c r="H14" s="490" t="n"/>
      <c r="I14" s="137" t="n"/>
      <c r="J14" s="137" t="n"/>
      <c r="K14" s="488" t="n"/>
      <c r="L14" s="137" t="n"/>
      <c r="M14" s="136" t="n"/>
      <c r="N14" s="489" t="n"/>
      <c r="O14" s="141" t="n"/>
      <c r="P14" s="141" t="n"/>
      <c r="Q14" s="141" t="n"/>
    </row>
    <row r="15" ht="18" customFormat="1" customHeight="1" s="134">
      <c r="A15" s="213" t="n">
        <v>13</v>
      </c>
      <c r="B15" s="135" t="n"/>
      <c r="C15" s="136" t="n"/>
      <c r="D15" s="136" t="n"/>
      <c r="E15" s="136" t="n"/>
      <c r="F15" s="137" t="n"/>
      <c r="G15" s="138" t="n"/>
      <c r="H15" s="490" t="n"/>
      <c r="I15" s="137" t="n"/>
      <c r="J15" s="137" t="n"/>
      <c r="K15" s="488" t="n"/>
      <c r="L15" s="137" t="n"/>
      <c r="M15" s="136" t="n"/>
      <c r="N15" s="489" t="n"/>
      <c r="O15" s="141" t="n"/>
      <c r="P15" s="242" t="n"/>
      <c r="Q15" s="141" t="n"/>
    </row>
    <row r="16" ht="20.25" customFormat="1" customHeight="1" s="134">
      <c r="A16" s="213" t="n">
        <v>14</v>
      </c>
      <c r="B16" s="135" t="n"/>
      <c r="C16" s="136" t="n"/>
      <c r="D16" s="136" t="n"/>
      <c r="E16" s="136" t="n"/>
      <c r="F16" s="137" t="n"/>
      <c r="G16" s="138" t="n"/>
      <c r="H16" s="490" t="n"/>
      <c r="I16" s="137" t="n"/>
      <c r="J16" s="137" t="n"/>
      <c r="K16" s="491" t="n"/>
      <c r="L16" s="137" t="n"/>
      <c r="M16" s="136" t="n"/>
      <c r="N16" s="489" t="n"/>
      <c r="O16" s="141" t="n"/>
      <c r="P16" s="141" t="n"/>
      <c r="Q16" s="141" t="n"/>
    </row>
    <row r="17">
      <c r="C17" s="10">
        <f>SUM(C2:C16)</f>
        <v/>
      </c>
      <c r="D17" s="10" t="n"/>
      <c r="E17" s="10" t="n"/>
      <c r="F17" s="7" t="n"/>
      <c r="G17" s="11">
        <f>SUM(G2:G16)</f>
        <v/>
      </c>
      <c r="M17" s="33" t="inlineStr">
        <is>
          <t>총 Net--&gt;</t>
        </is>
      </c>
      <c r="N17" s="492">
        <f>SUM(N2:N16)</f>
        <v/>
      </c>
      <c r="O17" s="7" t="n"/>
      <c r="P17" s="8">
        <f>SUM(P2:P16)</f>
        <v/>
      </c>
      <c r="Q17" s="8">
        <f>P17*1.21</f>
        <v/>
      </c>
    </row>
    <row r="18">
      <c r="A18" s="214" t="n"/>
      <c r="B18" s="57">
        <f>COUNTA(B2:B16)</f>
        <v/>
      </c>
      <c r="C18" s="58" t="n"/>
      <c r="D18" s="58" t="n"/>
      <c r="E18" s="58" t="n"/>
      <c r="F18" s="57" t="inlineStr">
        <is>
          <t>Qty_box</t>
        </is>
      </c>
      <c r="G18" s="59">
        <f>ROUNDUP(G17,0)</f>
        <v/>
      </c>
      <c r="H18" s="493" t="n"/>
      <c r="I18" s="57" t="n"/>
      <c r="J18" s="61" t="n"/>
      <c r="K18" s="494" t="n"/>
      <c r="L18" s="63" t="inlineStr">
        <is>
          <t>박스중량</t>
        </is>
      </c>
      <c r="M18" s="61" t="n">
        <v>0.5</v>
      </c>
      <c r="N18" s="64">
        <f>N17+M19</f>
        <v/>
      </c>
      <c r="O18" s="7" t="n"/>
    </row>
    <row r="19">
      <c r="A19" s="215" t="n"/>
      <c r="B19" s="65" t="n"/>
      <c r="C19" s="66" t="n"/>
      <c r="D19" s="66" t="n"/>
      <c r="E19" s="66" t="n"/>
      <c r="F19" s="67" t="inlineStr">
        <is>
          <t>Pallet</t>
        </is>
      </c>
      <c r="G19" s="68" t="n">
        <v>2</v>
      </c>
      <c r="H19" s="495" t="n"/>
      <c r="I19" s="70" t="n"/>
      <c r="J19" s="71" t="n"/>
      <c r="K19" s="496" t="n"/>
      <c r="L19" s="73" t="inlineStr">
        <is>
          <t>박수총중량</t>
        </is>
      </c>
      <c r="M19" s="71">
        <f>M18*G18</f>
        <v/>
      </c>
      <c r="N19" s="70" t="n"/>
      <c r="O19" s="7" t="n"/>
    </row>
    <row r="20">
      <c r="C20" s="10" t="n"/>
      <c r="D20" s="10" t="n"/>
      <c r="E20" s="10" t="n"/>
      <c r="F20" s="7" t="n"/>
      <c r="G20" s="11" t="n">
        <v>1</v>
      </c>
      <c r="N20" s="7" t="n"/>
      <c r="O20" s="7" t="n"/>
    </row>
    <row r="21">
      <c r="B21" s="74" t="n"/>
      <c r="C21" s="7" t="n">
        <v>2</v>
      </c>
      <c r="D21" s="7" t="n">
        <v>3</v>
      </c>
      <c r="E21" s="7" t="n">
        <v>4</v>
      </c>
      <c r="F21" s="7" t="n">
        <v>5</v>
      </c>
      <c r="G21" s="7" t="n">
        <v>6</v>
      </c>
      <c r="H21" s="7" t="n">
        <v>7</v>
      </c>
      <c r="I21" s="7" t="n">
        <v>8</v>
      </c>
      <c r="J21" s="7" t="n">
        <v>9</v>
      </c>
      <c r="K21" s="7" t="n">
        <v>10</v>
      </c>
      <c r="L21" s="7" t="n">
        <v>11</v>
      </c>
      <c r="M21" s="7" t="n">
        <v>12</v>
      </c>
      <c r="N21" s="7" t="n">
        <v>13</v>
      </c>
      <c r="O21" s="7" t="n"/>
    </row>
    <row r="22">
      <c r="C22" s="10" t="n"/>
      <c r="D22" s="10" t="n"/>
      <c r="E22" s="10" t="n"/>
      <c r="F22" s="7" t="n"/>
      <c r="G22" s="11" t="n"/>
      <c r="N22" s="7" t="n"/>
      <c r="O22" s="7" t="n"/>
    </row>
    <row r="23">
      <c r="C23" s="10" t="n"/>
      <c r="D23" s="10" t="n"/>
      <c r="E23" s="10" t="n"/>
      <c r="F23" s="7" t="n"/>
      <c r="G23" s="11" t="n"/>
      <c r="N23" s="7" t="n"/>
      <c r="O23" s="7" t="n"/>
    </row>
    <row r="24">
      <c r="C24" s="10" t="n"/>
      <c r="D24" s="10" t="n"/>
      <c r="E24" s="10" t="n"/>
      <c r="F24" s="7" t="n"/>
      <c r="G24" s="11" t="n"/>
      <c r="N24" s="7" t="n"/>
      <c r="O24" s="7" t="n"/>
    </row>
    <row r="25">
      <c r="C25" s="10" t="n"/>
      <c r="D25" s="10" t="n"/>
      <c r="E25" s="10" t="n"/>
      <c r="F25" s="7" t="n"/>
      <c r="G25" s="11" t="n"/>
      <c r="N25" s="7" t="n"/>
      <c r="O25" s="7" t="n"/>
    </row>
    <row r="26">
      <c r="C26" s="10" t="n"/>
      <c r="D26" s="10" t="n"/>
      <c r="E26" s="10" t="n"/>
      <c r="F26" s="7" t="n"/>
      <c r="G26" s="11" t="n"/>
      <c r="N26" s="7" t="n"/>
      <c r="O26" s="7" t="n"/>
    </row>
    <row r="27">
      <c r="C27" s="10" t="n"/>
      <c r="D27" s="10" t="n"/>
      <c r="E27" s="10" t="n"/>
      <c r="F27" s="7" t="n"/>
      <c r="G27" s="11" t="n"/>
      <c r="N27" s="7" t="n"/>
      <c r="O27" s="7" t="n"/>
    </row>
    <row r="28">
      <c r="C28" s="10" t="n"/>
      <c r="D28" s="10" t="n"/>
      <c r="E28" s="10" t="n"/>
      <c r="F28" s="7" t="n"/>
      <c r="G28" s="11" t="n"/>
      <c r="N28" s="7" t="n"/>
      <c r="O28" s="7" t="n"/>
    </row>
    <row r="29" ht="16.5" customHeight="1">
      <c r="C29" s="10" t="n"/>
      <c r="D29" s="10" t="n"/>
      <c r="E29" s="10" t="n"/>
      <c r="F29" s="7" t="n"/>
      <c r="G29" s="11" t="n"/>
      <c r="N29" s="7" t="n"/>
      <c r="O29" s="7" t="n"/>
      <c r="AE29" s="171" t="inlineStr">
        <is>
          <t>Invoice #</t>
        </is>
      </c>
      <c r="AF29" s="171" t="inlineStr">
        <is>
          <t>인계자</t>
        </is>
      </c>
      <c r="AG29" s="171" t="inlineStr">
        <is>
          <t>인수자</t>
        </is>
      </c>
      <c r="AH29" s="171" t="inlineStr">
        <is>
          <t>차량번호</t>
        </is>
      </c>
    </row>
    <row r="30">
      <c r="AE30" s="172" t="inlineStr">
        <is>
          <t xml:space="preserve"> KCDN12-24</t>
        </is>
      </c>
      <c r="AF30" s="170" t="n"/>
      <c r="AG30" s="170" t="n"/>
      <c r="AH30" s="170" t="n"/>
    </row>
    <row r="31">
      <c r="N31" s="7" t="n"/>
    </row>
    <row r="40">
      <c r="L40" s="7" t="inlineStr">
        <is>
          <t xml:space="preserve"> </t>
        </is>
      </c>
    </row>
  </sheetData>
  <pageMargins left="0.75" right="0.75" top="1" bottom="1" header="0.5" footer="0.5"/>
  <pageSetup orientation="landscape" paperSize="9" scale="65" verticalDpi="300"/>
</worksheet>
</file>

<file path=xl/worksheets/sheet8.xml><?xml version="1.0" encoding="utf-8"?>
<worksheet xmlns="http://schemas.openxmlformats.org/spreadsheetml/2006/main">
  <sheetPr>
    <outlinePr summaryBelow="1" summaryRight="1"/>
    <pageSetUpPr fitToPage="1"/>
  </sheetPr>
  <dimension ref="A1:K59"/>
  <sheetViews>
    <sheetView showGridLines="0" topLeftCell="A8" zoomScale="70" zoomScaleNormal="70" workbookViewId="0">
      <selection activeCell="O22" sqref="O22"/>
    </sheetView>
  </sheetViews>
  <sheetFormatPr baseColWidth="8" defaultRowHeight="13.5"/>
  <cols>
    <col width="6.6640625" customWidth="1" min="1" max="1"/>
    <col width="21.5546875" customWidth="1" min="2" max="2"/>
    <col width="11.21875" bestFit="1" customWidth="1" min="3" max="3"/>
    <col width="7.88671875" customWidth="1" min="4" max="4"/>
    <col width="15.21875" customWidth="1" min="5" max="5"/>
    <col width="6.77734375" customWidth="1" min="6" max="6"/>
    <col width="14.88671875" customWidth="1" min="7" max="7"/>
    <col width="6.77734375" customWidth="1" min="8" max="8"/>
    <col width="16.77734375" customWidth="1" min="9" max="9"/>
    <col width="7" customWidth="1" min="10" max="10"/>
    <col width="10.88671875" customWidth="1" min="11" max="11"/>
  </cols>
  <sheetData>
    <row r="1" ht="35.25" customHeight="1">
      <c r="A1" s="230" t="inlineStr">
        <is>
          <t>수출 출고 확인증</t>
        </is>
      </c>
      <c r="B1" s="173" t="n"/>
      <c r="C1" s="173" t="n"/>
      <c r="D1" s="174" t="n"/>
      <c r="E1" s="173" t="n"/>
      <c r="F1" s="173" t="n"/>
      <c r="G1" s="173" t="n"/>
      <c r="H1" s="173" t="n"/>
      <c r="I1" s="173" t="n"/>
      <c r="J1" s="173" t="n"/>
      <c r="K1" s="173" t="n"/>
    </row>
    <row r="2" ht="11.25" customFormat="1" customHeight="1" s="1">
      <c r="A2" s="175" t="n"/>
      <c r="B2" s="144" t="n"/>
      <c r="C2" s="144" t="n"/>
      <c r="D2" s="144" t="n"/>
      <c r="E2" s="176" t="n"/>
      <c r="F2" s="176" t="n"/>
      <c r="G2" s="144" t="n"/>
      <c r="H2" s="144" t="n"/>
      <c r="I2" s="144" t="n"/>
      <c r="J2" s="144" t="n"/>
      <c r="K2" s="144" t="n"/>
    </row>
    <row r="3" ht="12.6" customFormat="1" customHeight="1" s="1">
      <c r="A3" s="176" t="n"/>
      <c r="B3" s="144" t="n"/>
      <c r="C3" s="144" t="n"/>
      <c r="D3" s="144" t="n"/>
      <c r="E3" s="176" t="n"/>
      <c r="F3" s="176" t="n"/>
      <c r="G3" s="144" t="n"/>
      <c r="H3" s="144" t="n"/>
      <c r="I3" s="497" t="n"/>
      <c r="J3" s="144" t="n"/>
      <c r="K3" s="144" t="n"/>
    </row>
    <row r="4" ht="12.95" customFormat="1" customHeight="1" s="1">
      <c r="A4" s="144" t="n"/>
      <c r="B4" s="144" t="n"/>
      <c r="C4" s="144" t="n"/>
      <c r="D4" s="144" t="n"/>
      <c r="E4" s="176" t="n"/>
      <c r="F4" s="176" t="n"/>
      <c r="G4" s="144" t="n"/>
      <c r="H4" s="144" t="n"/>
      <c r="I4" s="144" t="n"/>
      <c r="J4" s="144" t="n"/>
      <c r="K4" s="144" t="n"/>
    </row>
    <row r="5" ht="12.95" customFormat="1" customHeight="1" s="1">
      <c r="A5" s="144" t="n"/>
      <c r="B5" s="144" t="n"/>
      <c r="C5" s="144" t="n"/>
      <c r="D5" s="144" t="n"/>
      <c r="E5" s="144" t="n"/>
      <c r="F5" s="144" t="n"/>
      <c r="G5" s="144" t="n"/>
      <c r="H5" s="144" t="n"/>
      <c r="I5" s="144" t="n"/>
      <c r="J5" s="144" t="n"/>
      <c r="K5" s="144" t="n"/>
    </row>
    <row r="6" ht="12.95" customFormat="1" customHeight="1" s="1">
      <c r="A6" s="144" t="n"/>
      <c r="B6" s="144" t="n"/>
      <c r="C6" s="144" t="n"/>
      <c r="D6" s="144" t="n"/>
      <c r="E6" s="144" t="n"/>
      <c r="F6" s="144" t="n"/>
      <c r="G6" s="144" t="n"/>
      <c r="H6" s="144" t="n"/>
      <c r="I6" s="144" t="n"/>
      <c r="J6" s="144" t="n"/>
      <c r="K6" s="144" t="n"/>
    </row>
    <row r="7" ht="8.25" customFormat="1" customHeight="1" s="1" thickBot="1">
      <c r="A7" s="178" t="n"/>
      <c r="B7" s="178" t="n"/>
      <c r="C7" s="178" t="n"/>
      <c r="D7" s="178" t="n"/>
      <c r="E7" s="178" t="n"/>
      <c r="F7" s="178" t="n"/>
      <c r="G7" s="178" t="n"/>
      <c r="H7" s="178" t="n"/>
      <c r="I7" s="178" t="n"/>
      <c r="J7" s="178" t="n"/>
      <c r="K7" s="178" t="n"/>
    </row>
    <row r="8" ht="19.5" customFormat="1" customHeight="1" s="1">
      <c r="A8" s="220" t="inlineStr">
        <is>
          <t>인 계 자</t>
        </is>
      </c>
      <c r="B8" s="221" t="n"/>
      <c r="C8" s="221" t="n"/>
      <c r="D8" s="222" t="n"/>
      <c r="E8" s="498" t="inlineStr">
        <is>
          <t>Invoice N0.</t>
        </is>
      </c>
      <c r="F8" s="438" t="n"/>
      <c r="G8" s="438" t="n"/>
      <c r="H8" s="499" t="n"/>
      <c r="I8" s="500" t="inlineStr">
        <is>
          <t>출고 일자</t>
        </is>
      </c>
      <c r="J8" s="499" t="n"/>
      <c r="K8" s="223" t="inlineStr">
        <is>
          <t>출고 시간</t>
        </is>
      </c>
    </row>
    <row r="9" ht="12.75" customFormat="1" customHeight="1" s="1">
      <c r="A9" s="224" t="n"/>
      <c r="B9" s="221" t="n"/>
      <c r="C9" s="221" t="n"/>
      <c r="D9" s="222" t="n"/>
      <c r="E9" s="501">
        <f>PA!H2</f>
        <v/>
      </c>
      <c r="F9" s="502" t="n"/>
      <c r="G9" s="502" t="n"/>
      <c r="H9" s="503" t="n"/>
      <c r="I9" s="504">
        <f>TODAY()</f>
        <v/>
      </c>
      <c r="J9" s="503" t="n"/>
      <c r="K9" s="505" t="n"/>
    </row>
    <row r="10" ht="14.1" customFormat="1" customHeight="1" s="1">
      <c r="A10" s="279" t="inlineStr">
        <is>
          <t xml:space="preserve"> 경 창 정 공</t>
        </is>
      </c>
      <c r="C10" s="221" t="n"/>
      <c r="D10" s="222" t="n"/>
      <c r="E10" s="506" t="n"/>
      <c r="F10" s="446" t="n"/>
      <c r="G10" s="446" t="n"/>
      <c r="H10" s="447" t="n"/>
      <c r="I10" s="506" t="n"/>
      <c r="J10" s="447" t="n"/>
      <c r="K10" s="507" t="n"/>
    </row>
    <row r="11" ht="14.1" customFormat="1" customHeight="1" s="1">
      <c r="A11" s="508" t="n"/>
      <c r="C11" s="221" t="n"/>
      <c r="D11" s="222" t="n"/>
      <c r="E11" s="509" t="inlineStr">
        <is>
          <t>차량번호</t>
        </is>
      </c>
      <c r="F11" s="502" t="n"/>
      <c r="G11" s="503" t="n"/>
      <c r="H11" s="510" t="n"/>
      <c r="I11" s="221" t="n"/>
      <c r="J11" s="510" t="n"/>
      <c r="K11" s="226" t="n"/>
    </row>
    <row r="12" ht="12.75" customFormat="1" customHeight="1" s="1">
      <c r="A12" s="508" t="n"/>
      <c r="C12" s="221" t="n"/>
      <c r="D12" s="222" t="n"/>
      <c r="E12" s="511" t="n"/>
      <c r="G12" s="443" t="n"/>
      <c r="H12" s="510" t="n"/>
      <c r="I12" s="221" t="n"/>
      <c r="J12" s="510" t="n"/>
      <c r="K12" s="226" t="n"/>
    </row>
    <row r="13" ht="11.25" customFormat="1" customHeight="1" s="1">
      <c r="A13" s="224" t="n"/>
      <c r="B13" s="221" t="n"/>
      <c r="C13" s="221" t="n"/>
      <c r="D13" s="222" t="n"/>
      <c r="E13" s="506" t="n"/>
      <c r="F13" s="446" t="n"/>
      <c r="G13" s="447" t="n"/>
      <c r="H13" s="512" t="n"/>
      <c r="I13" s="228" t="n"/>
      <c r="J13" s="512" t="n"/>
      <c r="K13" s="229" t="n"/>
    </row>
    <row r="14" ht="15.75" customFormat="1" customHeight="1" s="1">
      <c r="A14" s="180" t="n"/>
      <c r="B14" s="181" t="n"/>
      <c r="C14" s="181" t="n"/>
      <c r="D14" s="181" t="n"/>
      <c r="E14" s="182" t="n"/>
      <c r="F14" s="182" t="n"/>
      <c r="G14" s="181" t="n"/>
      <c r="H14" s="181" t="n"/>
      <c r="I14" s="181" t="n"/>
      <c r="J14" s="181" t="n"/>
      <c r="K14" s="183" t="n"/>
    </row>
    <row r="15" ht="15.75" customFormat="1" customHeight="1" s="1">
      <c r="A15" s="274" t="inlineStr">
        <is>
          <t>No</t>
        </is>
      </c>
      <c r="B15" s="275" t="inlineStr">
        <is>
          <t>Part #</t>
        </is>
      </c>
      <c r="C15" s="276" t="inlineStr">
        <is>
          <t>총 수량</t>
        </is>
      </c>
      <c r="D15" s="275" t="inlineStr">
        <is>
          <t>PLT #</t>
        </is>
      </c>
      <c r="E15" s="276" t="inlineStr">
        <is>
          <t>출고일</t>
        </is>
      </c>
      <c r="F15" s="441" t="n"/>
      <c r="G15" s="441" t="n"/>
      <c r="H15" s="441" t="n"/>
      <c r="I15" s="441" t="n"/>
      <c r="J15" s="513" t="n"/>
      <c r="K15" s="179" t="n"/>
    </row>
    <row r="16" ht="22.5" customFormat="1" customHeight="1" s="1">
      <c r="A16" s="514" t="n"/>
      <c r="B16" s="515" t="n"/>
      <c r="C16" s="515" t="n"/>
      <c r="D16" s="515" t="n"/>
      <c r="E16" s="276" t="inlineStr">
        <is>
          <t>출고일#1</t>
        </is>
      </c>
      <c r="F16" s="276" t="inlineStr">
        <is>
          <t>확인</t>
        </is>
      </c>
      <c r="G16" s="276" t="inlineStr">
        <is>
          <t>출고일#2</t>
        </is>
      </c>
      <c r="H16" s="276" t="inlineStr">
        <is>
          <t>확인</t>
        </is>
      </c>
      <c r="I16" s="276" t="inlineStr">
        <is>
          <t>출고일#3</t>
        </is>
      </c>
      <c r="J16" s="276" t="inlineStr">
        <is>
          <t>확인</t>
        </is>
      </c>
      <c r="K16" s="516" t="inlineStr">
        <is>
          <t>최종확인</t>
        </is>
      </c>
    </row>
    <row r="17" ht="22.5" customFormat="1" customHeight="1" s="1">
      <c r="A17" s="517" t="n"/>
      <c r="B17" s="518" t="n"/>
      <c r="C17" s="518" t="n"/>
      <c r="D17" s="518" t="n"/>
      <c r="E17" s="200" t="n"/>
      <c r="F17" s="518" t="n"/>
      <c r="G17" s="199" t="n"/>
      <c r="H17" s="518" t="n"/>
      <c r="I17" s="199" t="n"/>
      <c r="J17" s="518" t="n"/>
      <c r="K17" s="519" t="n"/>
    </row>
    <row r="18" hidden="1" ht="41.25" customFormat="1" customHeight="1" s="1">
      <c r="A18" s="211" t="n">
        <v>1</v>
      </c>
      <c r="B18" s="520" t="inlineStr">
        <is>
          <t>E1490001119</t>
        </is>
      </c>
      <c r="C18" s="521">
        <f>MASTER!C2</f>
        <v/>
      </c>
      <c r="D18" s="216">
        <f>MASTER!P2</f>
        <v/>
      </c>
      <c r="E18" s="199" t="n"/>
      <c r="F18" s="199" t="n"/>
      <c r="G18" s="199" t="n"/>
      <c r="H18" s="199" t="n"/>
      <c r="I18" s="199" t="n"/>
      <c r="J18" s="199" t="n"/>
      <c r="K18" s="209" t="n"/>
    </row>
    <row r="19" ht="41.25" customFormat="1" customHeight="1" s="1">
      <c r="A19" s="211" t="n">
        <v>2</v>
      </c>
      <c r="B19" s="520" t="inlineStr">
        <is>
          <t>E1490001135</t>
        </is>
      </c>
      <c r="C19" s="521">
        <f>MASTER!C3</f>
        <v/>
      </c>
      <c r="D19" s="216">
        <f>MASTER!P3</f>
        <v/>
      </c>
      <c r="E19" s="199" t="n"/>
      <c r="F19" s="199" t="n"/>
      <c r="G19" s="199" t="n"/>
      <c r="H19" s="199" t="n"/>
      <c r="I19" s="199" t="n"/>
      <c r="J19" s="199" t="n"/>
      <c r="K19" s="209" t="n"/>
    </row>
    <row r="20" hidden="1" ht="41.25" customFormat="1" customHeight="1" s="1">
      <c r="A20" s="211" t="n">
        <v>1</v>
      </c>
      <c r="B20" s="520" t="inlineStr">
        <is>
          <t>E1490001136</t>
        </is>
      </c>
      <c r="C20" s="521">
        <f>MASTER!C4</f>
        <v/>
      </c>
      <c r="D20" s="216">
        <f>MASTER!P4</f>
        <v/>
      </c>
      <c r="E20" s="199" t="n"/>
      <c r="F20" s="199" t="n"/>
      <c r="G20" s="199" t="n"/>
      <c r="H20" s="199" t="n"/>
      <c r="I20" s="199" t="n"/>
      <c r="J20" s="199" t="n"/>
      <c r="K20" s="209" t="n"/>
    </row>
    <row r="21" hidden="1" ht="41.25" customFormat="1" customHeight="1" s="1">
      <c r="A21" s="211" t="n">
        <v>4</v>
      </c>
      <c r="B21" s="520" t="inlineStr">
        <is>
          <t>E1490001141</t>
        </is>
      </c>
      <c r="C21" s="521">
        <f>MASTER!C5</f>
        <v/>
      </c>
      <c r="D21" s="216">
        <f>MASTER!P5</f>
        <v/>
      </c>
      <c r="E21" s="198" t="n"/>
      <c r="F21" s="198" t="n"/>
      <c r="G21" s="199" t="n"/>
      <c r="H21" s="199" t="n"/>
      <c r="I21" s="199" t="n"/>
      <c r="J21" s="199" t="n"/>
      <c r="K21" s="209" t="n"/>
    </row>
    <row r="22" ht="41.25" customFormat="1" customHeight="1" s="1">
      <c r="A22" s="211" t="n">
        <v>2</v>
      </c>
      <c r="B22" s="520" t="inlineStr">
        <is>
          <t>E1490001134</t>
        </is>
      </c>
      <c r="C22" s="521">
        <f>MASTER!C6</f>
        <v/>
      </c>
      <c r="D22" s="216">
        <f>MASTER!P6</f>
        <v/>
      </c>
      <c r="E22" s="198" t="n"/>
      <c r="F22" s="198" t="n"/>
      <c r="G22" s="199" t="n"/>
      <c r="H22" s="199" t="n"/>
      <c r="I22" s="199" t="n"/>
      <c r="J22" s="199" t="n"/>
      <c r="K22" s="209" t="n"/>
    </row>
    <row r="23" hidden="1" ht="41.25" customFormat="1" customHeight="1" s="1">
      <c r="A23" s="211" t="n"/>
      <c r="B23" s="520" t="inlineStr">
        <is>
          <t>E1490001132</t>
        </is>
      </c>
      <c r="C23" s="521">
        <f>MASTER!C7</f>
        <v/>
      </c>
      <c r="D23" s="216">
        <f>MASTER!P7</f>
        <v/>
      </c>
      <c r="E23" s="198" t="n"/>
      <c r="F23" s="198" t="n"/>
      <c r="G23" s="199" t="n"/>
      <c r="H23" s="199" t="n"/>
      <c r="I23" s="199" t="n"/>
      <c r="J23" s="199" t="n"/>
      <c r="K23" s="209" t="n"/>
    </row>
    <row r="24" ht="41.25" customHeight="1">
      <c r="A24" s="211" t="n">
        <v>3</v>
      </c>
      <c r="B24" s="520" t="inlineStr">
        <is>
          <t>E1490001121</t>
        </is>
      </c>
      <c r="C24" s="521">
        <f>MASTER!C8</f>
        <v/>
      </c>
      <c r="D24" s="216">
        <f>MASTER!P8</f>
        <v/>
      </c>
      <c r="E24" s="198" t="n"/>
      <c r="F24" s="198" t="n"/>
      <c r="G24" s="198" t="n"/>
      <c r="H24" s="198" t="n"/>
      <c r="I24" s="198" t="n"/>
      <c r="J24" s="198" t="n"/>
      <c r="K24" s="210" t="n"/>
    </row>
    <row r="25" hidden="1" ht="41.25" customHeight="1">
      <c r="A25" s="211" t="n">
        <v>4</v>
      </c>
      <c r="B25" s="520" t="inlineStr">
        <is>
          <t>E1490001146</t>
        </is>
      </c>
      <c r="C25" s="521">
        <f>MASTER!C9</f>
        <v/>
      </c>
      <c r="D25" s="216">
        <f>MASTER!P9</f>
        <v/>
      </c>
      <c r="E25" s="198" t="n"/>
      <c r="F25" s="198" t="n"/>
      <c r="G25" s="198" t="n"/>
      <c r="H25" s="198" t="n"/>
      <c r="I25" s="198" t="n"/>
      <c r="J25" s="198" t="n"/>
      <c r="K25" s="210" t="n"/>
    </row>
    <row r="26" ht="41.25" customHeight="1">
      <c r="A26" s="211" t="n">
        <v>8</v>
      </c>
      <c r="B26" s="520" t="inlineStr">
        <is>
          <t>E1490001125</t>
        </is>
      </c>
      <c r="C26" s="521">
        <f>MASTER!C10</f>
        <v/>
      </c>
      <c r="D26" s="216">
        <f>MASTER!P10</f>
        <v/>
      </c>
      <c r="E26" s="198" t="n"/>
      <c r="F26" s="198" t="n"/>
      <c r="G26" s="198" t="n"/>
      <c r="H26" s="198" t="n"/>
      <c r="I26" s="198" t="n"/>
      <c r="J26" s="198" t="n"/>
      <c r="K26" s="210" t="n"/>
    </row>
    <row r="27" hidden="1" ht="41.25" customHeight="1">
      <c r="A27" s="211" t="n">
        <v>9</v>
      </c>
      <c r="B27" s="520" t="inlineStr">
        <is>
          <t>E1490001111</t>
        </is>
      </c>
      <c r="C27" s="521">
        <f>MASTER!C11</f>
        <v/>
      </c>
      <c r="D27" s="216">
        <f>MASTER!P11</f>
        <v/>
      </c>
      <c r="E27" s="198" t="n"/>
      <c r="F27" s="198" t="n"/>
      <c r="G27" s="198" t="n"/>
      <c r="H27" s="198" t="n"/>
      <c r="I27" s="198" t="n"/>
      <c r="J27" s="198" t="n"/>
      <c r="K27" s="210" t="n"/>
    </row>
    <row r="28" hidden="1" ht="41.25" customHeight="1">
      <c r="A28" s="211" t="n">
        <v>10</v>
      </c>
      <c r="B28" s="520" t="inlineStr">
        <is>
          <t>E1490001142</t>
        </is>
      </c>
      <c r="C28" s="521">
        <f>MASTER!C12</f>
        <v/>
      </c>
      <c r="D28" s="216">
        <f>MASTER!P12</f>
        <v/>
      </c>
      <c r="E28" s="198" t="n"/>
      <c r="F28" s="198" t="n"/>
      <c r="G28" s="198" t="n"/>
      <c r="H28" s="198" t="n"/>
      <c r="I28" s="198" t="n"/>
      <c r="J28" s="198" t="n"/>
      <c r="K28" s="210" t="n"/>
    </row>
    <row r="29" hidden="1" ht="41.25" customHeight="1">
      <c r="A29" s="211" t="n">
        <v>11</v>
      </c>
      <c r="B29" s="520" t="inlineStr">
        <is>
          <t>E1490001144</t>
        </is>
      </c>
      <c r="C29" s="521">
        <f>MASTER!C13</f>
        <v/>
      </c>
      <c r="D29" s="216">
        <f>MASTER!P13</f>
        <v/>
      </c>
      <c r="E29" s="198" t="n"/>
      <c r="F29" s="198" t="n"/>
      <c r="G29" s="198" t="n"/>
      <c r="H29" s="198" t="n"/>
      <c r="I29" s="198" t="n"/>
      <c r="J29" s="198" t="n"/>
      <c r="K29" s="210" t="n"/>
    </row>
    <row r="30" hidden="1" ht="41.25" customHeight="1">
      <c r="A30" s="211" t="n">
        <v>12</v>
      </c>
      <c r="B30" s="520" t="inlineStr">
        <is>
          <t>E1490001149</t>
        </is>
      </c>
      <c r="C30" s="521">
        <f>MASTER!C14</f>
        <v/>
      </c>
      <c r="D30" s="216">
        <f>MASTER!P14</f>
        <v/>
      </c>
      <c r="E30" s="198" t="n"/>
      <c r="F30" s="198" t="n"/>
      <c r="G30" s="198" t="n"/>
      <c r="H30" s="198" t="n"/>
      <c r="I30" s="198" t="n"/>
      <c r="J30" s="198" t="n"/>
      <c r="K30" s="210" t="n"/>
    </row>
    <row r="31" ht="41.25" customHeight="1">
      <c r="A31" s="211" t="n">
        <v>5</v>
      </c>
      <c r="B31" s="520" t="inlineStr">
        <is>
          <t>E1590001025</t>
        </is>
      </c>
      <c r="C31" s="521">
        <f>MASTER!C15</f>
        <v/>
      </c>
      <c r="D31" s="216">
        <f>MASTER!P15</f>
        <v/>
      </c>
      <c r="E31" s="198" t="n"/>
      <c r="F31" s="198" t="n"/>
      <c r="G31" s="198" t="n"/>
      <c r="H31" s="198" t="n"/>
      <c r="I31" s="198" t="n"/>
      <c r="J31" s="198" t="n"/>
      <c r="K31" s="210" t="n"/>
    </row>
    <row r="32" hidden="1" ht="41.25" customHeight="1">
      <c r="A32" s="211" t="n">
        <v>6</v>
      </c>
      <c r="B32" s="520" t="inlineStr">
        <is>
          <t>C1490001238</t>
        </is>
      </c>
      <c r="C32" s="521">
        <f>MASTER!C16</f>
        <v/>
      </c>
      <c r="D32" s="216">
        <f>MASTER!P16</f>
        <v/>
      </c>
      <c r="E32" s="198" t="n"/>
      <c r="F32" s="198" t="n"/>
      <c r="G32" s="198" t="n"/>
      <c r="H32" s="198" t="n"/>
      <c r="I32" s="198" t="n"/>
      <c r="J32" s="198" t="n"/>
      <c r="K32" s="210" t="n"/>
    </row>
    <row r="33" hidden="1" ht="41.25" customHeight="1">
      <c r="A33" s="211" t="n">
        <v>7</v>
      </c>
      <c r="B33" s="520" t="inlineStr">
        <is>
          <t>E1490001232</t>
        </is>
      </c>
      <c r="C33" s="521">
        <f>MASTER!#REF!</f>
        <v/>
      </c>
      <c r="D33" s="216">
        <f>MASTER!#REF!</f>
        <v/>
      </c>
      <c r="E33" s="198" t="n"/>
      <c r="F33" s="198" t="n"/>
      <c r="G33" s="198" t="n"/>
      <c r="H33" s="198" t="n"/>
      <c r="I33" s="198" t="n"/>
      <c r="J33" s="198" t="n"/>
      <c r="K33" s="210" t="n"/>
    </row>
    <row r="34" hidden="1" ht="41.25" customHeight="1">
      <c r="A34" s="211" t="n">
        <v>16</v>
      </c>
      <c r="B34" s="520" t="inlineStr">
        <is>
          <t>E1490001287</t>
        </is>
      </c>
      <c r="C34" s="521">
        <f>MASTER!#REF!</f>
        <v/>
      </c>
      <c r="D34" s="216">
        <f>MASTER!#REF!</f>
        <v/>
      </c>
      <c r="E34" s="198" t="n"/>
      <c r="F34" s="198" t="n"/>
      <c r="G34" s="198" t="n"/>
      <c r="H34" s="198" t="n"/>
      <c r="I34" s="198" t="n"/>
      <c r="J34" s="198" t="n"/>
      <c r="K34" s="210" t="n"/>
    </row>
    <row r="35" hidden="1" ht="41.25" customHeight="1">
      <c r="A35" s="211" t="n">
        <v>17</v>
      </c>
      <c r="B35" s="520" t="inlineStr">
        <is>
          <t>E1490001293</t>
        </is>
      </c>
      <c r="C35" s="521">
        <f>MASTER!#REF!</f>
        <v/>
      </c>
      <c r="D35" s="216">
        <f>MASTER!#REF!</f>
        <v/>
      </c>
      <c r="E35" s="198" t="n"/>
      <c r="F35" s="198" t="n"/>
      <c r="G35" s="198" t="n"/>
      <c r="H35" s="198" t="n"/>
      <c r="I35" s="198" t="n"/>
      <c r="J35" s="198" t="n"/>
      <c r="K35" s="210" t="n"/>
    </row>
    <row r="36" hidden="1" ht="41.25" customHeight="1">
      <c r="A36" s="211" t="n">
        <v>18</v>
      </c>
      <c r="B36" s="520" t="inlineStr">
        <is>
          <t>E1490001261</t>
        </is>
      </c>
      <c r="C36" s="521">
        <f>MASTER!#REF!</f>
        <v/>
      </c>
      <c r="D36" s="216">
        <f>MASTER!#REF!</f>
        <v/>
      </c>
      <c r="E36" s="198" t="n"/>
      <c r="F36" s="198" t="n"/>
      <c r="G36" s="198" t="n"/>
      <c r="H36" s="198" t="n"/>
      <c r="I36" s="198" t="n"/>
      <c r="J36" s="198" t="n"/>
      <c r="K36" s="210" t="n"/>
    </row>
    <row r="37" hidden="1" ht="41.25" customFormat="1" customHeight="1" s="1">
      <c r="A37" s="211" t="n">
        <v>16</v>
      </c>
      <c r="B37" s="520" t="inlineStr">
        <is>
          <t>E1490001262</t>
        </is>
      </c>
      <c r="C37" s="521">
        <f>MASTER!#REF!</f>
        <v/>
      </c>
      <c r="D37" s="216">
        <f>MASTER!#REF!</f>
        <v/>
      </c>
      <c r="E37" s="199" t="n"/>
      <c r="F37" s="199" t="n"/>
      <c r="G37" s="199" t="n"/>
      <c r="H37" s="199" t="n"/>
      <c r="I37" s="199" t="n"/>
      <c r="J37" s="199" t="n"/>
      <c r="K37" s="209" t="n"/>
    </row>
    <row r="38" ht="41.25" customFormat="1" customHeight="1" s="1">
      <c r="A38" s="211" t="n">
        <v>8</v>
      </c>
      <c r="B38" s="520" t="inlineStr">
        <is>
          <t>C1490001268</t>
        </is>
      </c>
      <c r="C38" s="521">
        <f>MASTER!#REF!</f>
        <v/>
      </c>
      <c r="D38" s="216">
        <f>MASTER!#REF!</f>
        <v/>
      </c>
      <c r="E38" s="199" t="n"/>
      <c r="F38" s="199" t="n"/>
      <c r="G38" s="199" t="n"/>
      <c r="H38" s="199" t="n"/>
      <c r="I38" s="199" t="n"/>
      <c r="J38" s="199" t="n"/>
      <c r="K38" s="209" t="n"/>
    </row>
    <row r="39" hidden="1" ht="41.25" customFormat="1" customHeight="1" s="1">
      <c r="A39" s="211" t="n">
        <v>9</v>
      </c>
      <c r="B39" s="520" t="inlineStr">
        <is>
          <t>E1490001266</t>
        </is>
      </c>
      <c r="C39" s="521">
        <f>MASTER!#REF!</f>
        <v/>
      </c>
      <c r="D39" s="216">
        <f>MASTER!#REF!</f>
        <v/>
      </c>
      <c r="E39" s="199" t="n"/>
      <c r="F39" s="199" t="n"/>
      <c r="G39" s="199" t="n"/>
      <c r="H39" s="199" t="n"/>
      <c r="I39" s="199" t="n"/>
      <c r="J39" s="199" t="n"/>
      <c r="K39" s="209" t="n"/>
    </row>
    <row r="40" hidden="1" ht="41.25" customFormat="1" customHeight="1" s="1">
      <c r="A40" s="211" t="n">
        <v>10</v>
      </c>
      <c r="B40" s="520" t="inlineStr">
        <is>
          <t>E1490001229</t>
        </is>
      </c>
      <c r="C40" s="521">
        <f>MASTER!#REF!</f>
        <v/>
      </c>
      <c r="D40" s="216">
        <f>MASTER!#REF!</f>
        <v/>
      </c>
      <c r="E40" s="199" t="n"/>
      <c r="F40" s="199" t="n"/>
      <c r="G40" s="199" t="n"/>
      <c r="H40" s="199" t="n"/>
      <c r="I40" s="199" t="n"/>
      <c r="J40" s="199" t="n"/>
      <c r="K40" s="209" t="n"/>
    </row>
    <row r="41" hidden="1" ht="41.25" customFormat="1" customHeight="1" s="1">
      <c r="A41" s="211" t="n">
        <v>19</v>
      </c>
      <c r="B41" s="520" t="inlineStr">
        <is>
          <t>E1490001153</t>
        </is>
      </c>
      <c r="C41" s="521">
        <f>MASTER!#REF!</f>
        <v/>
      </c>
      <c r="D41" s="216">
        <f>MASTER!#REF!</f>
        <v/>
      </c>
      <c r="E41" s="199" t="n"/>
      <c r="F41" s="199" t="n"/>
      <c r="G41" s="199" t="n"/>
      <c r="H41" s="199" t="n"/>
      <c r="I41" s="199" t="n"/>
      <c r="J41" s="199" t="n"/>
      <c r="K41" s="209" t="n"/>
    </row>
    <row r="42" ht="41.25" customFormat="1" customHeight="1" s="1">
      <c r="A42" s="211" t="n">
        <v>11</v>
      </c>
      <c r="B42" s="520" t="inlineStr">
        <is>
          <t>E1490001275</t>
        </is>
      </c>
      <c r="C42" s="521">
        <f>MASTER!#REF!</f>
        <v/>
      </c>
      <c r="D42" s="216">
        <f>MASTER!#REF!</f>
        <v/>
      </c>
      <c r="E42" s="199" t="n"/>
      <c r="F42" s="199" t="n"/>
      <c r="G42" s="199" t="n"/>
      <c r="H42" s="199" t="n"/>
      <c r="I42" s="199" t="n"/>
      <c r="J42" s="199" t="n"/>
      <c r="K42" s="209" t="n"/>
    </row>
    <row r="43" ht="41.25" customFormat="1" customHeight="1" s="1">
      <c r="A43" s="211" t="n">
        <v>12</v>
      </c>
      <c r="B43" s="520" t="inlineStr">
        <is>
          <t>C1490001283</t>
        </is>
      </c>
      <c r="C43" s="521">
        <f>MASTER!#REF!</f>
        <v/>
      </c>
      <c r="D43" s="216">
        <f>MASTER!#REF!</f>
        <v/>
      </c>
      <c r="E43" s="199" t="n"/>
      <c r="F43" s="199" t="n"/>
      <c r="G43" s="199" t="n"/>
      <c r="H43" s="199" t="n"/>
      <c r="I43" s="199" t="n"/>
      <c r="J43" s="199" t="n"/>
      <c r="K43" s="209" t="n"/>
    </row>
    <row r="44" hidden="1" ht="41.25" customFormat="1" customHeight="1" s="1">
      <c r="A44" s="211" t="n">
        <v>13</v>
      </c>
      <c r="B44" s="520" t="inlineStr">
        <is>
          <t>E1490001294</t>
        </is>
      </c>
      <c r="C44" s="521">
        <f>MASTER!#REF!</f>
        <v/>
      </c>
      <c r="D44" s="216">
        <f>MASTER!#REF!</f>
        <v/>
      </c>
      <c r="E44" s="199" t="n"/>
      <c r="F44" s="199" t="n"/>
      <c r="G44" s="199" t="n"/>
      <c r="H44" s="199" t="n"/>
      <c r="I44" s="199" t="n"/>
      <c r="J44" s="199" t="n"/>
      <c r="K44" s="209" t="n"/>
    </row>
    <row r="45" hidden="1" ht="41.25" customFormat="1" customHeight="1" s="1">
      <c r="A45" s="211" t="n">
        <v>23</v>
      </c>
      <c r="B45" s="520" t="inlineStr">
        <is>
          <t>E1490001279</t>
        </is>
      </c>
      <c r="C45" s="521">
        <f>MASTER!#REF!</f>
        <v/>
      </c>
      <c r="D45" s="216">
        <f>MASTER!#REF!</f>
        <v/>
      </c>
      <c r="E45" s="199" t="n"/>
      <c r="F45" s="199" t="n"/>
      <c r="G45" s="199" t="n"/>
      <c r="H45" s="199" t="n"/>
      <c r="I45" s="199" t="n"/>
      <c r="J45" s="199" t="n"/>
      <c r="K45" s="209" t="n"/>
    </row>
    <row r="46" hidden="1" ht="41.25" customFormat="1" customHeight="1" s="1">
      <c r="A46" s="211" t="n">
        <v>11</v>
      </c>
      <c r="B46" s="520" t="inlineStr">
        <is>
          <t>E1490005081</t>
        </is>
      </c>
      <c r="C46" s="521">
        <f>MASTER!#REF!</f>
        <v/>
      </c>
      <c r="D46" s="216">
        <f>MASTER!#REF!</f>
        <v/>
      </c>
      <c r="E46" s="199" t="n"/>
      <c r="F46" s="199" t="n"/>
      <c r="G46" s="199" t="n"/>
      <c r="H46" s="199" t="n"/>
      <c r="I46" s="199" t="n"/>
      <c r="J46" s="199" t="n"/>
      <c r="K46" s="209" t="n"/>
    </row>
    <row r="47" hidden="1" ht="41.25" customFormat="1" customHeight="1" s="1">
      <c r="A47" s="211" t="n">
        <v>12</v>
      </c>
      <c r="B47" s="520" t="inlineStr">
        <is>
          <t>E1490010273</t>
        </is>
      </c>
      <c r="C47" s="521">
        <f>MASTER!#REF!</f>
        <v/>
      </c>
      <c r="D47" s="216">
        <f>MASTER!#REF!</f>
        <v/>
      </c>
      <c r="E47" s="199" t="n"/>
      <c r="F47" s="199" t="n"/>
      <c r="G47" s="199" t="n"/>
      <c r="H47" s="199" t="n"/>
      <c r="I47" s="199" t="n"/>
      <c r="J47" s="199" t="n"/>
      <c r="K47" s="209" t="n"/>
    </row>
    <row r="48" hidden="1" ht="41.25" customFormat="1" customHeight="1" s="1">
      <c r="A48" s="211" t="n">
        <v>13</v>
      </c>
      <c r="B48" s="520" t="inlineStr">
        <is>
          <t>C1490018833A0</t>
        </is>
      </c>
      <c r="C48" s="521">
        <f>MASTER!#REF!</f>
        <v/>
      </c>
      <c r="D48" s="216">
        <f>MASTER!#REF!</f>
        <v/>
      </c>
      <c r="E48" s="199" t="n"/>
      <c r="F48" s="199" t="n"/>
      <c r="G48" s="199" t="n"/>
      <c r="H48" s="199" t="n"/>
      <c r="I48" s="199" t="n"/>
      <c r="J48" s="199" t="n"/>
      <c r="K48" s="209" t="n"/>
    </row>
    <row r="49" ht="29.25" customFormat="1" customHeight="1" s="1">
      <c r="A49" s="201" t="n"/>
      <c r="B49" s="199" t="n"/>
      <c r="C49" s="199" t="n"/>
      <c r="D49" s="217">
        <f>SUM(D18:D48)</f>
        <v/>
      </c>
      <c r="E49" s="199" t="n"/>
      <c r="F49" s="199" t="n"/>
      <c r="G49" s="199" t="n"/>
      <c r="H49" s="199" t="n"/>
      <c r="I49" s="199" t="n"/>
      <c r="J49" s="199" t="n"/>
      <c r="K49" s="209" t="n"/>
    </row>
    <row r="50" ht="15.75" customFormat="1" customHeight="1" s="1">
      <c r="A50" s="184" t="n"/>
      <c r="B50" s="144" t="n"/>
      <c r="C50" s="144" t="n"/>
      <c r="D50" s="144" t="n"/>
      <c r="E50" s="144" t="n"/>
      <c r="F50" s="144" t="n"/>
      <c r="G50" s="144" t="n"/>
      <c r="H50" s="144" t="n"/>
      <c r="I50" s="144" t="n"/>
      <c r="J50" s="144" t="n"/>
      <c r="K50" s="179" t="n"/>
    </row>
    <row r="51" ht="15.75" customFormat="1" customHeight="1" s="1">
      <c r="A51" s="184" t="n"/>
      <c r="B51" s="144" t="n"/>
      <c r="C51" s="144" t="n"/>
      <c r="D51" s="144" t="n"/>
      <c r="E51" s="144" t="n"/>
      <c r="F51" s="144" t="n"/>
      <c r="G51" s="144" t="n"/>
      <c r="H51" s="144" t="n"/>
      <c r="I51" s="144" t="n"/>
      <c r="J51" s="144" t="n"/>
      <c r="K51" s="179" t="n"/>
    </row>
    <row r="52" ht="37.5" customFormat="1" customHeight="1" s="1">
      <c r="A52" s="184" t="n"/>
      <c r="B52" s="233" t="n"/>
      <c r="C52" s="144" t="n"/>
      <c r="D52" s="144" t="n"/>
      <c r="E52" s="144" t="n"/>
      <c r="F52" s="144" t="n"/>
      <c r="G52" s="144" t="n"/>
      <c r="H52" s="144" t="n"/>
      <c r="I52" s="144" t="n"/>
      <c r="J52" s="144" t="n"/>
      <c r="K52" s="179" t="n"/>
    </row>
    <row r="53" ht="37.5" customHeight="1">
      <c r="A53" s="184" t="n"/>
      <c r="B53" s="234" t="n"/>
      <c r="C53" s="235" t="n"/>
      <c r="D53" s="235" t="n"/>
      <c r="E53" s="186" t="n"/>
      <c r="F53" s="186" t="n"/>
      <c r="G53" s="187" t="n"/>
      <c r="H53" s="187" t="n"/>
      <c r="I53" s="185" t="n"/>
      <c r="J53" s="187" t="n"/>
      <c r="K53" s="188" t="n"/>
    </row>
    <row r="54" ht="15.75" customHeight="1">
      <c r="A54" s="184" t="n"/>
      <c r="B54" s="185" t="n"/>
      <c r="C54" s="185" t="n"/>
      <c r="D54" s="185" t="n"/>
      <c r="E54" s="185" t="n"/>
      <c r="F54" s="185" t="n"/>
      <c r="G54" s="187" t="n"/>
      <c r="H54" s="187" t="n"/>
      <c r="I54" s="185" t="n"/>
      <c r="J54" s="187" t="n"/>
      <c r="K54" s="188" t="n"/>
    </row>
    <row r="55" ht="43.5" customFormat="1" customHeight="1" s="240">
      <c r="A55" s="236" t="n"/>
      <c r="B55" s="237" t="n"/>
      <c r="C55" s="238" t="n"/>
      <c r="D55" s="237" t="n"/>
      <c r="E55" s="237" t="n"/>
      <c r="F55" s="237" t="n"/>
      <c r="G55" s="237" t="n"/>
      <c r="H55" s="237" t="n"/>
      <c r="I55" s="237" t="n"/>
      <c r="J55" s="237" t="n"/>
      <c r="K55" s="239" t="n"/>
    </row>
    <row r="56" ht="13.5" customHeight="1">
      <c r="A56" s="189" t="n"/>
      <c r="B56" s="185" t="n"/>
      <c r="C56" s="185" t="n"/>
      <c r="D56" s="185" t="n"/>
      <c r="E56" s="202" t="n"/>
      <c r="F56" s="202" t="n"/>
      <c r="G56" s="203" t="n"/>
      <c r="H56" s="203" t="n"/>
      <c r="I56" s="190" t="inlineStr">
        <is>
          <t>확 인</t>
        </is>
      </c>
      <c r="J56" s="203" t="n"/>
      <c r="K56" s="188" t="n"/>
    </row>
    <row r="57" ht="13.5" customHeight="1">
      <c r="A57" s="189" t="n"/>
      <c r="B57" s="185" t="n"/>
      <c r="C57" s="185" t="n"/>
      <c r="D57" s="185" t="n"/>
      <c r="E57" s="282" t="n"/>
      <c r="F57" s="281" t="n"/>
      <c r="G57" s="305" t="n"/>
      <c r="H57" s="304" t="n"/>
      <c r="I57" s="522" t="n"/>
      <c r="J57" s="304" t="n"/>
      <c r="K57" s="188" t="n"/>
    </row>
    <row r="58" ht="16.5" customHeight="1">
      <c r="A58" s="189" t="n"/>
      <c r="B58" s="185" t="n"/>
      <c r="C58" s="185" t="n"/>
      <c r="D58" s="185" t="n"/>
      <c r="F58" s="281" t="n"/>
      <c r="G58" s="443" t="n"/>
      <c r="H58" s="304" t="n"/>
      <c r="I58" s="515" t="n"/>
      <c r="J58" s="304" t="n"/>
      <c r="K58" s="188" t="n"/>
    </row>
    <row r="59" ht="38.25" customHeight="1" thickBot="1">
      <c r="A59" s="191" t="n"/>
      <c r="B59" s="192" t="n"/>
      <c r="C59" s="192" t="n"/>
      <c r="D59" s="192" t="n"/>
      <c r="E59" s="523" t="n"/>
      <c r="F59" s="282" t="n"/>
      <c r="G59" s="524" t="n"/>
      <c r="H59" s="305" t="n"/>
      <c r="I59" s="525" t="n"/>
      <c r="J59" s="305" t="n"/>
      <c r="K59" s="193" t="n"/>
    </row>
  </sheetData>
  <mergeCells count="19">
    <mergeCell ref="D15:D17"/>
    <mergeCell ref="A10:B12"/>
    <mergeCell ref="E57:E59"/>
    <mergeCell ref="B15:B17"/>
    <mergeCell ref="E15:J15"/>
    <mergeCell ref="E9:H10"/>
    <mergeCell ref="A15:A17"/>
    <mergeCell ref="J16:J17"/>
    <mergeCell ref="E11:G13"/>
    <mergeCell ref="I9:J10"/>
    <mergeCell ref="E8:H8"/>
    <mergeCell ref="C15:C17"/>
    <mergeCell ref="H16:H17"/>
    <mergeCell ref="G57:G59"/>
    <mergeCell ref="I57:I59"/>
    <mergeCell ref="I8:J8"/>
    <mergeCell ref="K9:K10"/>
    <mergeCell ref="K16:K17"/>
    <mergeCell ref="F16:F17"/>
  </mergeCells>
  <pageMargins left="0.1968503937007874" right="0.1968503937007874" top="0.984251968503937" bottom="0.984251968503937" header="0.5118110236220472" footer="0.5118110236220472"/>
  <pageSetup orientation="portrait" paperSize="9" scale="44"/>
  <drawing xmlns:r="http://schemas.openxmlformats.org/officeDocument/2006/relationships" r:id="rId1"/>
</worksheet>
</file>

<file path=xl/worksheets/sheet9.xml><?xml version="1.0" encoding="utf-8"?>
<worksheet xmlns="http://schemas.openxmlformats.org/spreadsheetml/2006/main">
  <sheetPr>
    <tabColor rgb="FFFF0000"/>
    <outlinePr summaryBelow="1" summaryRight="1"/>
    <pageSetUpPr/>
  </sheetPr>
  <dimension ref="A1:K82"/>
  <sheetViews>
    <sheetView zoomScaleNormal="100" workbookViewId="0">
      <selection activeCell="A80" sqref="A80:F80"/>
    </sheetView>
  </sheetViews>
  <sheetFormatPr baseColWidth="8" defaultColWidth="8" defaultRowHeight="16.5"/>
  <cols>
    <col width="6.44140625" customWidth="1" style="146" min="1" max="1"/>
    <col width="4.6640625" customWidth="1" style="146" min="2" max="2"/>
    <col width="7.109375" customWidth="1" style="146" min="3" max="3"/>
    <col width="14.77734375" customWidth="1" style="146" min="4" max="4"/>
    <col width="12" customWidth="1" style="146" min="5" max="5"/>
    <col width="3.109375" customWidth="1" style="146" min="6" max="6"/>
    <col width="7.21875" customWidth="1" style="146" min="7" max="7"/>
    <col width="8.44140625" customWidth="1" style="146" min="8" max="8"/>
    <col width="7.21875" customWidth="1" style="146" min="9" max="9"/>
    <col width="7.6640625" customWidth="1" style="146" min="10" max="10"/>
    <col width="10.33203125" customWidth="1" style="146" min="11" max="11"/>
    <col width="8" customWidth="1" style="146" min="12" max="16384"/>
  </cols>
  <sheetData>
    <row r="1">
      <c r="A1" s="317" t="inlineStr">
        <is>
          <t>[별지 제6호의9서식]</t>
        </is>
      </c>
    </row>
    <row r="2" ht="17.25" customHeight="1" thickBot="1">
      <c r="A2" s="318" t="inlineStr">
        <is>
          <t>미국과의 협정에 따른 원산지증명서 권고서식</t>
        </is>
      </c>
    </row>
    <row r="3" ht="18.75" customHeight="1" thickTop="1">
      <c r="A3" s="526" t="inlineStr">
        <is>
          <t>Certificate of Origin</t>
        </is>
      </c>
      <c r="B3" s="527" t="n"/>
      <c r="C3" s="527" t="n"/>
      <c r="D3" s="527" t="n"/>
      <c r="E3" s="527" t="n"/>
      <c r="F3" s="527" t="n"/>
      <c r="G3" s="527" t="n"/>
      <c r="H3" s="527" t="n"/>
      <c r="I3" s="527" t="n"/>
      <c r="J3" s="527" t="n"/>
      <c r="K3" s="528" t="n"/>
    </row>
    <row r="4" ht="19.5" customHeight="1" thickBot="1">
      <c r="A4" s="529" t="inlineStr">
        <is>
          <t>Korea-US Free Trade Agreement</t>
        </is>
      </c>
      <c r="B4" s="530" t="n"/>
      <c r="C4" s="530" t="n"/>
      <c r="D4" s="530" t="n"/>
      <c r="E4" s="530" t="n"/>
      <c r="F4" s="530" t="n"/>
      <c r="G4" s="530" t="n"/>
      <c r="H4" s="530" t="n"/>
      <c r="I4" s="530" t="n"/>
      <c r="J4" s="530" t="n"/>
      <c r="K4" s="531" t="n"/>
    </row>
    <row r="5" ht="17.25" customHeight="1" thickTop="1">
      <c r="A5" s="532" t="inlineStr">
        <is>
          <t>1.Exporter
(수출자)</t>
        </is>
      </c>
      <c r="B5" s="533" t="n"/>
      <c r="C5" s="329" t="inlineStr">
        <is>
          <t>Name (성명)</t>
        </is>
      </c>
      <c r="D5" s="534" t="inlineStr">
        <is>
          <t>Kyung Chang Precision</t>
        </is>
      </c>
      <c r="E5" s="535" t="n"/>
      <c r="F5" s="536" t="n"/>
      <c r="G5" s="537" t="inlineStr">
        <is>
          <t>2. Blanket Period</t>
        </is>
      </c>
      <c r="H5" s="535" t="n"/>
      <c r="I5" s="535" t="n"/>
      <c r="J5" s="535" t="n"/>
      <c r="K5" s="538" t="n"/>
    </row>
    <row r="6">
      <c r="A6" s="539" t="n"/>
      <c r="B6" s="540" t="n"/>
      <c r="C6" s="541" t="n"/>
      <c r="D6" s="542" t="n"/>
      <c r="F6" s="543" t="n"/>
      <c r="G6" s="544" t="inlineStr">
        <is>
          <t xml:space="preserve">  (원산지포괄증명기간)</t>
        </is>
      </c>
      <c r="K6" s="545" t="n"/>
    </row>
    <row r="7">
      <c r="A7" s="539" t="n"/>
      <c r="B7" s="540" t="n"/>
      <c r="C7" s="325" t="inlineStr">
        <is>
          <t>Address(주소)</t>
        </is>
      </c>
      <c r="D7" s="546" t="inlineStr">
        <is>
          <t>306-56, Jang-Dong, Dalseo-Gu, Daegu, Korea(704-190)</t>
        </is>
      </c>
      <c r="F7" s="543" t="n"/>
      <c r="G7" s="547" t="n"/>
      <c r="K7" s="545" t="n"/>
    </row>
    <row r="8">
      <c r="A8" s="539" t="n"/>
      <c r="B8" s="540" t="n"/>
      <c r="C8" s="548" t="n"/>
      <c r="D8" s="549" t="n"/>
      <c r="E8" s="550" t="n"/>
      <c r="F8" s="551" t="n"/>
      <c r="G8" s="544" t="inlineStr">
        <is>
          <t xml:space="preserve">      2015      01      01         2015       12     31 </t>
        </is>
      </c>
      <c r="K8" s="545" t="n"/>
    </row>
    <row r="9" ht="22.5" customHeight="1">
      <c r="A9" s="539" t="n"/>
      <c r="B9" s="540" t="n"/>
      <c r="C9" s="320" t="inlineStr">
        <is>
          <t>Telephone (전화)</t>
        </is>
      </c>
      <c r="D9" s="552" t="inlineStr">
        <is>
          <t>82 53 721 1844</t>
        </is>
      </c>
      <c r="E9" s="553" t="n"/>
      <c r="F9" s="554" t="n"/>
      <c r="G9" s="544" t="inlineStr">
        <is>
          <t xml:space="preserve">      (년)      (월)    (일)        (년)      (월)   (일)</t>
        </is>
      </c>
      <c r="K9" s="545" t="n"/>
    </row>
    <row r="10" ht="22.5" customHeight="1">
      <c r="A10" s="539" t="n"/>
      <c r="B10" s="540" t="n"/>
      <c r="C10" s="320" t="inlineStr">
        <is>
          <t>Fax (팩스)</t>
        </is>
      </c>
      <c r="D10" s="552" t="inlineStr">
        <is>
          <t>82 53 718 2494</t>
        </is>
      </c>
      <c r="E10" s="553" t="n"/>
      <c r="F10" s="554" t="n"/>
      <c r="G10" s="544" t="inlineStr">
        <is>
          <t>From: __ __ __ __/__ __ /__ __ To: __ __ __ __/__ __ /__ __</t>
        </is>
      </c>
      <c r="K10" s="545" t="n"/>
    </row>
    <row r="11">
      <c r="A11" s="539" t="n"/>
      <c r="B11" s="540" t="n"/>
      <c r="C11" s="430" t="inlineStr">
        <is>
          <t>E-mail (전자주소)</t>
        </is>
      </c>
      <c r="D11" s="555" t="inlineStr">
        <is>
          <t>sylee@kc.co.kr</t>
        </is>
      </c>
      <c r="E11" s="556" t="n"/>
      <c r="F11" s="557" t="n"/>
      <c r="G11" s="544" t="inlineStr">
        <is>
          <t>(부터)                        (까지)</t>
        </is>
      </c>
      <c r="K11" s="545" t="n"/>
    </row>
    <row r="12" ht="17.25" customHeight="1" thickBot="1">
      <c r="A12" s="558" t="n"/>
      <c r="B12" s="559" t="n"/>
      <c r="C12" s="560" t="n"/>
      <c r="D12" s="561" t="n"/>
      <c r="E12" s="562" t="n"/>
      <c r="F12" s="563" t="n"/>
      <c r="G12" s="564" t="n"/>
      <c r="H12" s="530" t="n"/>
      <c r="I12" s="530" t="n"/>
      <c r="J12" s="530" t="n"/>
      <c r="K12" s="531" t="n"/>
    </row>
    <row r="13" ht="17.25" customHeight="1" thickTop="1">
      <c r="A13" s="532" t="inlineStr">
        <is>
          <t>3.Producer
(생산자)</t>
        </is>
      </c>
      <c r="B13" s="533" t="n"/>
      <c r="C13" s="319" t="inlineStr">
        <is>
          <t>Name (성명)</t>
        </is>
      </c>
      <c r="D13" s="321" t="inlineStr">
        <is>
          <t>Kyung Chang Precision</t>
        </is>
      </c>
      <c r="E13" s="535" t="n"/>
      <c r="F13" s="535" t="n"/>
      <c r="G13" s="565" t="inlineStr">
        <is>
          <t xml:space="preserve">4.Importer
(수입자) </t>
        </is>
      </c>
      <c r="H13" s="319" t="inlineStr">
        <is>
          <t>Name (성명)</t>
        </is>
      </c>
      <c r="I13" s="533" t="n"/>
      <c r="J13" s="566" t="inlineStr">
        <is>
          <t>Various</t>
        </is>
      </c>
      <c r="K13" s="538" t="n"/>
    </row>
    <row r="14">
      <c r="A14" s="539" t="n"/>
      <c r="B14" s="540" t="n"/>
      <c r="C14" s="548" t="n"/>
      <c r="D14" s="542" t="n"/>
      <c r="G14" s="567" t="n"/>
      <c r="H14" s="549" t="n"/>
      <c r="I14" s="568" t="n"/>
      <c r="J14" s="549" t="n"/>
      <c r="K14" s="569" t="n"/>
    </row>
    <row r="15" ht="16.5" customHeight="1">
      <c r="A15" s="539" t="n"/>
      <c r="B15" s="540" t="n"/>
      <c r="C15" s="320" t="inlineStr">
        <is>
          <t>Address(주소)</t>
        </is>
      </c>
      <c r="D15" s="341" t="inlineStr">
        <is>
          <t>306-56, Jang-Dong, Dalseo-Gu, Daegu, Korea(704-190)</t>
        </is>
      </c>
      <c r="G15" s="567" t="n"/>
      <c r="H15" s="320" t="inlineStr">
        <is>
          <t>Address(주소)</t>
        </is>
      </c>
      <c r="I15" s="570" t="n"/>
      <c r="J15" s="571" t="n"/>
      <c r="K15" s="572" t="n"/>
    </row>
    <row r="16">
      <c r="A16" s="539" t="n"/>
      <c r="B16" s="540" t="n"/>
      <c r="C16" s="548" t="n"/>
      <c r="D16" s="549" t="n"/>
      <c r="E16" s="550" t="n"/>
      <c r="F16" s="550" t="n"/>
      <c r="G16" s="567" t="n"/>
      <c r="H16" s="549" t="n"/>
      <c r="I16" s="568" t="n"/>
      <c r="J16" s="549" t="n"/>
      <c r="K16" s="569" t="n"/>
    </row>
    <row r="17" ht="16.5" customHeight="1">
      <c r="A17" s="539" t="n"/>
      <c r="B17" s="540" t="n"/>
      <c r="C17" s="320" t="inlineStr">
        <is>
          <t>Telephone (전화)</t>
        </is>
      </c>
      <c r="D17" s="343" t="inlineStr">
        <is>
          <t>82 53 721 1844</t>
        </is>
      </c>
      <c r="E17" s="556" t="n"/>
      <c r="F17" s="556" t="n"/>
      <c r="G17" s="567" t="n"/>
      <c r="H17" s="320" t="inlineStr">
        <is>
          <t>Telephone (전화)</t>
        </is>
      </c>
      <c r="I17" s="570" t="n"/>
      <c r="J17" s="571" t="n"/>
      <c r="K17" s="572" t="n"/>
    </row>
    <row r="18" ht="16.5" customHeight="1">
      <c r="A18" s="539" t="n"/>
      <c r="B18" s="540" t="n"/>
      <c r="C18" s="548" t="n"/>
      <c r="D18" s="549" t="n"/>
      <c r="E18" s="550" t="n"/>
      <c r="F18" s="550" t="n"/>
      <c r="G18" s="567" t="n"/>
      <c r="H18" s="549" t="n"/>
      <c r="I18" s="568" t="n"/>
      <c r="J18" s="549" t="n"/>
      <c r="K18" s="569" t="n"/>
    </row>
    <row r="19" ht="16.5" customHeight="1">
      <c r="A19" s="539" t="n"/>
      <c r="B19" s="540" t="n"/>
      <c r="C19" s="320" t="inlineStr">
        <is>
          <t>Fax (팩스)</t>
        </is>
      </c>
      <c r="D19" s="343" t="inlineStr">
        <is>
          <t>82 53 718 2494</t>
        </is>
      </c>
      <c r="E19" s="556" t="n"/>
      <c r="F19" s="556" t="n"/>
      <c r="G19" s="567" t="n"/>
      <c r="H19" s="320" t="inlineStr">
        <is>
          <t>Fax (팩스)</t>
        </is>
      </c>
      <c r="I19" s="570" t="n"/>
      <c r="J19" s="571" t="n"/>
      <c r="K19" s="572" t="n"/>
    </row>
    <row r="20">
      <c r="A20" s="539" t="n"/>
      <c r="B20" s="540" t="n"/>
      <c r="C20" s="548" t="n"/>
      <c r="D20" s="549" t="n"/>
      <c r="E20" s="550" t="n"/>
      <c r="F20" s="550" t="n"/>
      <c r="G20" s="567" t="n"/>
      <c r="H20" s="549" t="n"/>
      <c r="I20" s="568" t="n"/>
      <c r="J20" s="549" t="n"/>
      <c r="K20" s="569" t="n"/>
    </row>
    <row r="21" ht="17.25" customHeight="1" thickBot="1">
      <c r="A21" s="558" t="n"/>
      <c r="B21" s="559" t="n"/>
      <c r="C21" s="150" t="inlineStr">
        <is>
          <t>E-mail (전자주소)</t>
        </is>
      </c>
      <c r="D21" s="368" t="inlineStr">
        <is>
          <t>sylee@kc.co.kr</t>
        </is>
      </c>
      <c r="E21" s="573" t="n"/>
      <c r="F21" s="573" t="n"/>
      <c r="G21" s="574" t="n"/>
      <c r="H21" s="150" t="inlineStr">
        <is>
          <t>E-mail (전자주소)</t>
        </is>
      </c>
      <c r="I21" s="575" t="n"/>
      <c r="J21" s="576" t="inlineStr">
        <is>
          <t>jadcock@borgwarner.com</t>
        </is>
      </c>
      <c r="K21" s="577" t="n"/>
    </row>
    <row r="22" ht="18" customHeight="1" thickBot="1" thickTop="1">
      <c r="A22" s="578" t="inlineStr">
        <is>
          <t>5.원산지증명대상물품내역</t>
        </is>
      </c>
      <c r="B22" s="579" t="n"/>
      <c r="C22" s="579" t="n"/>
      <c r="D22" s="579" t="n"/>
      <c r="E22" s="579" t="n"/>
      <c r="F22" s="579" t="n"/>
      <c r="G22" s="579" t="n"/>
      <c r="H22" s="579" t="n"/>
      <c r="I22" s="579" t="n"/>
      <c r="J22" s="579" t="n"/>
      <c r="K22" s="580" t="n"/>
    </row>
    <row r="23" ht="23.25" customHeight="1" thickTop="1">
      <c r="A23" s="151" t="inlineStr">
        <is>
          <t>Serial No.</t>
        </is>
      </c>
      <c r="B23" s="329" t="inlineStr">
        <is>
          <t>Description of Good(s)</t>
        </is>
      </c>
      <c r="C23" s="535" t="n"/>
      <c r="D23" s="533" t="n"/>
      <c r="E23" s="329" t="inlineStr">
        <is>
          <t>Quantity &amp; Unit</t>
        </is>
      </c>
      <c r="F23" s="329" t="inlineStr">
        <is>
          <t>HS No.</t>
        </is>
      </c>
      <c r="G23" s="535" t="n"/>
      <c r="H23" s="533" t="n"/>
      <c r="I23" s="329" t="inlineStr">
        <is>
          <t>Preference Criterion</t>
        </is>
      </c>
      <c r="J23" s="533" t="n"/>
      <c r="K23" s="152" t="inlineStr">
        <is>
          <t>Country of Origin</t>
        </is>
      </c>
    </row>
    <row r="24">
      <c r="A24" s="153" t="inlineStr">
        <is>
          <t>(연번)</t>
        </is>
      </c>
      <c r="B24" s="325" t="inlineStr">
        <is>
          <t>(품명ㆍ규격)</t>
        </is>
      </c>
      <c r="C24" s="550" t="n"/>
      <c r="D24" s="568" t="n"/>
      <c r="E24" s="325" t="inlineStr">
        <is>
          <t>(수량 및 단위)</t>
        </is>
      </c>
      <c r="F24" s="325" t="inlineStr">
        <is>
          <t>(품목번호 HS 6단위)</t>
        </is>
      </c>
      <c r="G24" s="550" t="n"/>
      <c r="H24" s="568" t="n"/>
      <c r="I24" s="325" t="inlineStr">
        <is>
          <t>(원산지결정기준)</t>
        </is>
      </c>
      <c r="J24" s="568" t="n"/>
      <c r="K24" s="154" t="inlineStr">
        <is>
          <t>(원산지 국가)</t>
        </is>
      </c>
    </row>
    <row r="25">
      <c r="A25" s="155" t="n">
        <v>1</v>
      </c>
      <c r="B25" s="156" t="inlineStr">
        <is>
          <t>E1490001119</t>
        </is>
      </c>
      <c r="C25" s="157" t="n"/>
      <c r="D25" s="158" t="inlineStr">
        <is>
          <t>Bracket Air Pump</t>
        </is>
      </c>
      <c r="E25" s="159" t="n"/>
      <c r="F25" s="313" t="n">
        <v>830230</v>
      </c>
      <c r="G25" s="556" t="n"/>
      <c r="H25" s="158" t="n"/>
      <c r="I25" s="581" t="inlineStr">
        <is>
          <t>CTSH</t>
        </is>
      </c>
      <c r="J25" s="570" t="n"/>
      <c r="K25" s="160" t="inlineStr">
        <is>
          <t>KR</t>
        </is>
      </c>
    </row>
    <row r="26">
      <c r="A26" s="161" t="n"/>
      <c r="B26" s="162" t="inlineStr">
        <is>
          <t>E1490001135</t>
        </is>
      </c>
      <c r="C26" s="163" t="n"/>
      <c r="D26" s="164" t="inlineStr">
        <is>
          <t>Bracket Air Pump</t>
        </is>
      </c>
      <c r="E26" s="165" t="n"/>
      <c r="F26" s="309" t="n">
        <v>830230</v>
      </c>
      <c r="H26" s="164" t="n"/>
      <c r="I26" s="582" t="inlineStr">
        <is>
          <t>CTSH</t>
        </is>
      </c>
      <c r="J26" s="540" t="n"/>
      <c r="K26" s="166" t="inlineStr">
        <is>
          <t>KR</t>
        </is>
      </c>
    </row>
    <row r="27">
      <c r="A27" s="161" t="n"/>
      <c r="B27" s="162" t="inlineStr">
        <is>
          <t>E1490001136</t>
        </is>
      </c>
      <c r="C27" s="163" t="n"/>
      <c r="D27" s="164" t="inlineStr">
        <is>
          <t>Bracket Air Pump</t>
        </is>
      </c>
      <c r="E27" s="165" t="n"/>
      <c r="F27" s="309" t="n">
        <v>830230</v>
      </c>
      <c r="H27" s="164" t="n"/>
      <c r="I27" s="582" t="inlineStr">
        <is>
          <t>CTSH</t>
        </is>
      </c>
      <c r="J27" s="540" t="n"/>
      <c r="K27" s="166" t="inlineStr">
        <is>
          <t>KR</t>
        </is>
      </c>
    </row>
    <row r="28">
      <c r="A28" s="161" t="n"/>
      <c r="B28" s="162" t="inlineStr">
        <is>
          <t>E1490001141</t>
        </is>
      </c>
      <c r="C28" s="163" t="n"/>
      <c r="D28" s="164" t="inlineStr">
        <is>
          <t>Bracket Air Pump</t>
        </is>
      </c>
      <c r="E28" s="165" t="n"/>
      <c r="F28" s="309" t="n">
        <v>830230</v>
      </c>
      <c r="H28" s="164" t="n"/>
      <c r="I28" s="582" t="inlineStr">
        <is>
          <t>CTSH</t>
        </is>
      </c>
      <c r="J28" s="540" t="n"/>
      <c r="K28" s="166" t="inlineStr">
        <is>
          <t>KR</t>
        </is>
      </c>
    </row>
    <row r="29">
      <c r="A29" s="161" t="n"/>
      <c r="B29" s="162" t="inlineStr">
        <is>
          <t>E1490001134</t>
        </is>
      </c>
      <c r="C29" s="163" t="n"/>
      <c r="D29" s="164" t="inlineStr">
        <is>
          <t>Bracket Air Pump</t>
        </is>
      </c>
      <c r="E29" s="165" t="n"/>
      <c r="F29" s="309" t="n">
        <v>830230</v>
      </c>
      <c r="H29" s="164" t="n"/>
      <c r="I29" s="582" t="inlineStr">
        <is>
          <t>CTSH</t>
        </is>
      </c>
      <c r="J29" s="540" t="n"/>
      <c r="K29" s="166" t="inlineStr">
        <is>
          <t>KR</t>
        </is>
      </c>
    </row>
    <row r="30">
      <c r="A30" s="161" t="n"/>
      <c r="B30" s="162" t="inlineStr">
        <is>
          <t>E1490001132</t>
        </is>
      </c>
      <c r="C30" s="163" t="n"/>
      <c r="D30" s="164" t="inlineStr">
        <is>
          <t>Bracket Air Pump</t>
        </is>
      </c>
      <c r="E30" s="165" t="n"/>
      <c r="F30" s="309" t="n">
        <v>830230</v>
      </c>
      <c r="H30" s="164" t="n"/>
      <c r="I30" s="582" t="inlineStr">
        <is>
          <t>CTSH</t>
        </is>
      </c>
      <c r="J30" s="540" t="n"/>
      <c r="K30" s="166" t="inlineStr">
        <is>
          <t>KR</t>
        </is>
      </c>
    </row>
    <row r="31">
      <c r="A31" s="161" t="n"/>
      <c r="B31" s="162" t="inlineStr">
        <is>
          <t>E1490001121</t>
        </is>
      </c>
      <c r="C31" s="163" t="n"/>
      <c r="D31" s="164" t="inlineStr">
        <is>
          <t>Bracket Air Pump</t>
        </is>
      </c>
      <c r="E31" s="165" t="n"/>
      <c r="F31" s="309" t="n">
        <v>830230</v>
      </c>
      <c r="H31" s="164" t="n"/>
      <c r="I31" s="582" t="inlineStr">
        <is>
          <t>CTSH</t>
        </is>
      </c>
      <c r="J31" s="540" t="n"/>
      <c r="K31" s="166" t="inlineStr">
        <is>
          <t>KR</t>
        </is>
      </c>
    </row>
    <row r="32">
      <c r="A32" s="161" t="n"/>
      <c r="B32" s="162" t="inlineStr">
        <is>
          <t>E1490001144</t>
        </is>
      </c>
      <c r="C32" s="163" t="n"/>
      <c r="D32" s="164" t="inlineStr">
        <is>
          <t>Bracket Air Pump</t>
        </is>
      </c>
      <c r="E32" s="165" t="n"/>
      <c r="F32" s="309" t="n">
        <v>830230</v>
      </c>
      <c r="H32" s="164" t="n"/>
      <c r="I32" s="582" t="inlineStr">
        <is>
          <t>CTSH</t>
        </is>
      </c>
      <c r="J32" s="540" t="n"/>
      <c r="K32" s="166" t="inlineStr">
        <is>
          <t>KR</t>
        </is>
      </c>
    </row>
    <row r="33">
      <c r="A33" s="161" t="n"/>
      <c r="B33" s="162" t="inlineStr">
        <is>
          <t>E1490001125</t>
        </is>
      </c>
      <c r="C33" s="163" t="n"/>
      <c r="D33" s="164" t="inlineStr">
        <is>
          <t>Bracket Air Pump</t>
        </is>
      </c>
      <c r="E33" s="165" t="n"/>
      <c r="F33" s="309" t="n">
        <v>830230</v>
      </c>
      <c r="H33" s="164" t="n"/>
      <c r="I33" s="582" t="inlineStr">
        <is>
          <t>CTSH</t>
        </is>
      </c>
      <c r="J33" s="540" t="n"/>
      <c r="K33" s="166" t="inlineStr">
        <is>
          <t>KR</t>
        </is>
      </c>
    </row>
    <row r="34">
      <c r="A34" s="161" t="n"/>
      <c r="B34" s="162" t="inlineStr">
        <is>
          <t>E1490001111</t>
        </is>
      </c>
      <c r="C34" s="163" t="n"/>
      <c r="D34" s="164" t="inlineStr">
        <is>
          <t>Bracket Air Pump</t>
        </is>
      </c>
      <c r="E34" s="165" t="n"/>
      <c r="F34" s="309" t="n">
        <v>830230</v>
      </c>
      <c r="H34" s="164" t="n"/>
      <c r="I34" s="582" t="inlineStr">
        <is>
          <t>CTSH</t>
        </is>
      </c>
      <c r="J34" s="540" t="n"/>
      <c r="K34" s="166" t="inlineStr">
        <is>
          <t>KR</t>
        </is>
      </c>
    </row>
    <row r="35">
      <c r="A35" s="161" t="n"/>
      <c r="B35" s="162" t="inlineStr">
        <is>
          <t>E1490001142</t>
        </is>
      </c>
      <c r="C35" s="163" t="n"/>
      <c r="D35" s="164" t="inlineStr">
        <is>
          <t>Bracket Air Pump</t>
        </is>
      </c>
      <c r="E35" s="165" t="n"/>
      <c r="F35" s="309" t="n">
        <v>830230</v>
      </c>
      <c r="H35" s="164" t="n"/>
      <c r="I35" s="582" t="inlineStr">
        <is>
          <t>CTSH</t>
        </is>
      </c>
      <c r="J35" s="540" t="n"/>
      <c r="K35" s="166" t="inlineStr">
        <is>
          <t>KR</t>
        </is>
      </c>
    </row>
    <row r="36">
      <c r="A36" s="161" t="n"/>
      <c r="B36" s="162" t="inlineStr">
        <is>
          <t>E1490001199</t>
        </is>
      </c>
      <c r="C36" s="163" t="n"/>
      <c r="D36" s="164" t="inlineStr">
        <is>
          <t>Bracket Air Pump</t>
        </is>
      </c>
      <c r="E36" s="165" t="n"/>
      <c r="F36" s="309" t="n">
        <v>830230</v>
      </c>
      <c r="H36" s="164" t="n"/>
      <c r="I36" s="582" t="inlineStr">
        <is>
          <t>CTSH</t>
        </is>
      </c>
      <c r="J36" s="540" t="n"/>
      <c r="K36" s="166" t="inlineStr">
        <is>
          <t>KR</t>
        </is>
      </c>
    </row>
    <row r="37">
      <c r="A37" s="161" t="n"/>
      <c r="B37" s="162" t="inlineStr">
        <is>
          <t>E1490001149</t>
        </is>
      </c>
      <c r="C37" s="163" t="n"/>
      <c r="D37" s="164" t="inlineStr">
        <is>
          <t>Bracket Air Pump</t>
        </is>
      </c>
      <c r="E37" s="165" t="n"/>
      <c r="F37" s="309" t="n">
        <v>830230</v>
      </c>
      <c r="H37" s="164" t="n"/>
      <c r="I37" s="582" t="inlineStr">
        <is>
          <t>CTSH</t>
        </is>
      </c>
      <c r="J37" s="540" t="n"/>
      <c r="K37" s="166" t="inlineStr">
        <is>
          <t>KR</t>
        </is>
      </c>
    </row>
    <row r="38">
      <c r="A38" s="161" t="n"/>
      <c r="B38" s="162" t="inlineStr">
        <is>
          <t>14900295A</t>
        </is>
      </c>
      <c r="C38" s="163" t="n"/>
      <c r="D38" s="164" t="inlineStr">
        <is>
          <t>Bracket Air Pump</t>
        </is>
      </c>
      <c r="E38" s="165" t="n"/>
      <c r="F38" s="309" t="n">
        <v>830230</v>
      </c>
      <c r="H38" s="164" t="n"/>
      <c r="I38" s="582" t="inlineStr">
        <is>
          <t>CTSH</t>
        </is>
      </c>
      <c r="J38" s="540" t="n"/>
      <c r="K38" s="166" t="inlineStr">
        <is>
          <t>KR</t>
        </is>
      </c>
    </row>
    <row r="39">
      <c r="A39" s="161" t="n"/>
      <c r="B39" s="162" t="inlineStr">
        <is>
          <t>E1590001025</t>
        </is>
      </c>
      <c r="C39" s="163" t="n"/>
      <c r="D39" s="164" t="inlineStr">
        <is>
          <t>Heat shield</t>
        </is>
      </c>
      <c r="E39" s="165" t="n"/>
      <c r="F39" s="309" t="n">
        <v>841490</v>
      </c>
      <c r="H39" s="164" t="n"/>
      <c r="I39" s="582" t="inlineStr">
        <is>
          <t>CTSH</t>
        </is>
      </c>
      <c r="J39" s="540" t="n"/>
      <c r="K39" s="166" t="inlineStr">
        <is>
          <t>KR</t>
        </is>
      </c>
    </row>
    <row r="40">
      <c r="A40" s="161" t="n"/>
      <c r="B40" s="162" t="inlineStr">
        <is>
          <t>C1490001238</t>
        </is>
      </c>
      <c r="C40" s="163" t="n"/>
      <c r="D40" s="164" t="inlineStr">
        <is>
          <t>Bracket Air Pump</t>
        </is>
      </c>
      <c r="E40" s="165" t="n"/>
      <c r="F40" s="309" t="n">
        <v>830230</v>
      </c>
      <c r="H40" s="164" t="n"/>
      <c r="I40" s="582" t="inlineStr">
        <is>
          <t>CTSH</t>
        </is>
      </c>
      <c r="J40" s="540" t="n"/>
      <c r="K40" s="166" t="inlineStr">
        <is>
          <t>KR</t>
        </is>
      </c>
    </row>
    <row r="41">
      <c r="A41" s="161" t="n"/>
      <c r="B41" s="162" t="inlineStr">
        <is>
          <t>E1490001232</t>
        </is>
      </c>
      <c r="C41" s="163" t="n"/>
      <c r="D41" s="164" t="inlineStr">
        <is>
          <t>Bracket Air Pump</t>
        </is>
      </c>
      <c r="E41" s="165" t="n"/>
      <c r="F41" s="309" t="n">
        <v>830230</v>
      </c>
      <c r="H41" s="164" t="n"/>
      <c r="I41" s="582" t="inlineStr">
        <is>
          <t>CTSH</t>
        </is>
      </c>
      <c r="J41" s="540" t="n"/>
      <c r="K41" s="166" t="inlineStr">
        <is>
          <t>KR</t>
        </is>
      </c>
    </row>
    <row r="42">
      <c r="A42" s="161" t="n"/>
      <c r="B42" s="162" t="inlineStr">
        <is>
          <t>E1490001287</t>
        </is>
      </c>
      <c r="C42" s="163" t="n"/>
      <c r="D42" s="164" t="inlineStr">
        <is>
          <t>Bracket Air Pump</t>
        </is>
      </c>
      <c r="E42" s="165" t="n"/>
      <c r="F42" s="309" t="n">
        <v>830230</v>
      </c>
      <c r="H42" s="164" t="n"/>
      <c r="I42" s="582" t="inlineStr">
        <is>
          <t>CTSH</t>
        </is>
      </c>
      <c r="J42" s="540" t="n"/>
      <c r="K42" s="166" t="inlineStr">
        <is>
          <t>KR</t>
        </is>
      </c>
    </row>
    <row r="43">
      <c r="A43" s="161" t="n"/>
      <c r="B43" s="162" t="inlineStr">
        <is>
          <t>E1490001293</t>
        </is>
      </c>
      <c r="C43" s="163" t="n"/>
      <c r="D43" s="164" t="inlineStr">
        <is>
          <t>Bracket Air Pump</t>
        </is>
      </c>
      <c r="E43" s="165" t="n"/>
      <c r="F43" s="309" t="n">
        <v>830230</v>
      </c>
      <c r="H43" s="164" t="n"/>
      <c r="I43" s="582" t="inlineStr">
        <is>
          <t>CTSH</t>
        </is>
      </c>
      <c r="J43" s="540" t="n"/>
      <c r="K43" s="166" t="inlineStr">
        <is>
          <t>KR</t>
        </is>
      </c>
    </row>
    <row r="44">
      <c r="A44" s="161" t="n"/>
      <c r="B44" s="162" t="inlineStr">
        <is>
          <t>E1490001261</t>
        </is>
      </c>
      <c r="C44" s="163" t="n"/>
      <c r="D44" s="164" t="inlineStr">
        <is>
          <t>Bracket Air Pump</t>
        </is>
      </c>
      <c r="E44" s="165" t="n"/>
      <c r="F44" s="309" t="n">
        <v>830230</v>
      </c>
      <c r="H44" s="164" t="n"/>
      <c r="I44" s="582" t="inlineStr">
        <is>
          <t>CTSH</t>
        </is>
      </c>
      <c r="J44" s="540" t="n"/>
      <c r="K44" s="166" t="inlineStr">
        <is>
          <t>KR</t>
        </is>
      </c>
    </row>
    <row r="45">
      <c r="A45" s="161" t="n"/>
      <c r="B45" s="162" t="inlineStr">
        <is>
          <t>E1490001262</t>
        </is>
      </c>
      <c r="C45" s="163" t="n"/>
      <c r="D45" s="164" t="inlineStr">
        <is>
          <t>Bracket Air Pump</t>
        </is>
      </c>
      <c r="E45" s="165" t="n"/>
      <c r="F45" s="309" t="n">
        <v>830230</v>
      </c>
      <c r="H45" s="164" t="n"/>
      <c r="I45" s="582" t="inlineStr">
        <is>
          <t>CTSH</t>
        </is>
      </c>
      <c r="J45" s="540" t="n"/>
      <c r="K45" s="166" t="inlineStr">
        <is>
          <t>KR</t>
        </is>
      </c>
    </row>
    <row r="46">
      <c r="A46" s="161" t="n"/>
      <c r="B46" s="162" t="inlineStr">
        <is>
          <t>E1490001272</t>
        </is>
      </c>
      <c r="C46" s="163" t="n"/>
      <c r="D46" s="164" t="inlineStr">
        <is>
          <t>Bracket Air Pump</t>
        </is>
      </c>
      <c r="E46" s="165" t="n"/>
      <c r="F46" s="309" t="n">
        <v>830230</v>
      </c>
      <c r="H46" s="164" t="n"/>
      <c r="I46" s="582" t="inlineStr">
        <is>
          <t>CTSH</t>
        </is>
      </c>
      <c r="J46" s="540" t="n"/>
      <c r="K46" s="166" t="inlineStr">
        <is>
          <t>KR</t>
        </is>
      </c>
    </row>
    <row r="47">
      <c r="A47" s="161" t="n"/>
      <c r="B47" s="162" t="inlineStr">
        <is>
          <t>E1490001256</t>
        </is>
      </c>
      <c r="C47" s="163" t="n"/>
      <c r="D47" s="164" t="inlineStr">
        <is>
          <t>Bracket Air Pump</t>
        </is>
      </c>
      <c r="E47" s="165" t="n"/>
      <c r="F47" s="309" t="n">
        <v>830230</v>
      </c>
      <c r="H47" s="164" t="n"/>
      <c r="I47" s="582" t="inlineStr">
        <is>
          <t>CTSH</t>
        </is>
      </c>
      <c r="J47" s="540" t="n"/>
      <c r="K47" s="166" t="inlineStr">
        <is>
          <t>KR</t>
        </is>
      </c>
    </row>
    <row r="48">
      <c r="A48" s="161" t="n"/>
      <c r="B48" s="162" t="inlineStr">
        <is>
          <t>E1490001257</t>
        </is>
      </c>
      <c r="C48" s="163" t="n"/>
      <c r="D48" s="164" t="inlineStr">
        <is>
          <t>Bracket Air Pump</t>
        </is>
      </c>
      <c r="E48" s="165" t="n"/>
      <c r="F48" s="309" t="n">
        <v>830230</v>
      </c>
      <c r="H48" s="164" t="n"/>
      <c r="I48" s="582" t="inlineStr">
        <is>
          <t>CTSH</t>
        </is>
      </c>
      <c r="J48" s="540" t="n"/>
      <c r="K48" s="166" t="inlineStr">
        <is>
          <t>KR</t>
        </is>
      </c>
    </row>
    <row r="49">
      <c r="A49" s="161" t="n"/>
      <c r="B49" s="162" t="inlineStr">
        <is>
          <t>C1490001268</t>
        </is>
      </c>
      <c r="C49" s="163" t="n"/>
      <c r="D49" s="164" t="inlineStr">
        <is>
          <t>Bracket Air Pump</t>
        </is>
      </c>
      <c r="E49" s="165" t="n"/>
      <c r="F49" s="309" t="n">
        <v>830230</v>
      </c>
      <c r="H49" s="164" t="n"/>
      <c r="I49" s="582" t="inlineStr">
        <is>
          <t>CTSH</t>
        </is>
      </c>
      <c r="J49" s="540" t="n"/>
      <c r="K49" s="166" t="inlineStr">
        <is>
          <t>KR</t>
        </is>
      </c>
    </row>
    <row r="50">
      <c r="A50" s="161" t="n"/>
      <c r="B50" s="162" t="inlineStr">
        <is>
          <t>E1490001229</t>
        </is>
      </c>
      <c r="C50" s="163" t="n"/>
      <c r="D50" s="164" t="inlineStr">
        <is>
          <t>Bracket Air Pump</t>
        </is>
      </c>
      <c r="E50" s="165" t="n"/>
      <c r="F50" s="309" t="n">
        <v>830230</v>
      </c>
      <c r="H50" s="164" t="n"/>
      <c r="I50" s="582" t="inlineStr">
        <is>
          <t>CTSH</t>
        </is>
      </c>
      <c r="J50" s="540" t="n"/>
      <c r="K50" s="166" t="inlineStr">
        <is>
          <t>KR</t>
        </is>
      </c>
    </row>
    <row r="51">
      <c r="A51" s="161" t="n"/>
      <c r="B51" s="162" t="inlineStr">
        <is>
          <t>C1490001275</t>
        </is>
      </c>
      <c r="C51" s="163" t="n"/>
      <c r="D51" s="164" t="inlineStr">
        <is>
          <t>Bracket Air Pump</t>
        </is>
      </c>
      <c r="E51" s="165" t="n"/>
      <c r="F51" s="309" t="n">
        <v>830230</v>
      </c>
      <c r="H51" s="164" t="n"/>
      <c r="I51" s="582" t="inlineStr">
        <is>
          <t>CTSH</t>
        </is>
      </c>
      <c r="J51" s="540" t="n"/>
      <c r="K51" s="166" t="inlineStr">
        <is>
          <t>KR</t>
        </is>
      </c>
    </row>
    <row r="52">
      <c r="A52" s="161" t="n"/>
      <c r="B52" s="162" t="inlineStr">
        <is>
          <t>E1490001266</t>
        </is>
      </c>
      <c r="C52" s="163" t="n"/>
      <c r="D52" s="164" t="inlineStr">
        <is>
          <t>Bracket Air Pump</t>
        </is>
      </c>
      <c r="E52" s="165" t="n"/>
      <c r="F52" s="309" t="n">
        <v>830230</v>
      </c>
      <c r="H52" s="164" t="n"/>
      <c r="I52" s="582" t="inlineStr">
        <is>
          <t>CTSH</t>
        </is>
      </c>
      <c r="J52" s="540" t="n"/>
      <c r="K52" s="166" t="inlineStr">
        <is>
          <t>KR</t>
        </is>
      </c>
    </row>
    <row r="53">
      <c r="A53" s="161" t="n"/>
      <c r="B53" s="162" t="inlineStr">
        <is>
          <t>E1490001153</t>
        </is>
      </c>
      <c r="C53" s="163" t="n"/>
      <c r="D53" s="164" t="inlineStr">
        <is>
          <t>Bracket Air Pump</t>
        </is>
      </c>
      <c r="E53" s="165" t="n"/>
      <c r="F53" s="309" t="n">
        <v>830230</v>
      </c>
      <c r="H53" s="164" t="n"/>
      <c r="I53" s="582" t="inlineStr">
        <is>
          <t>CTSH</t>
        </is>
      </c>
      <c r="J53" s="540" t="n"/>
      <c r="K53" s="166" t="inlineStr">
        <is>
          <t>KR</t>
        </is>
      </c>
    </row>
    <row r="54">
      <c r="A54" s="161" t="n"/>
      <c r="B54" s="162" t="inlineStr">
        <is>
          <t>E1490001283</t>
        </is>
      </c>
      <c r="C54" s="163" t="n"/>
      <c r="D54" s="164" t="inlineStr">
        <is>
          <t>Bracket Air Pump</t>
        </is>
      </c>
      <c r="E54" s="165" t="n"/>
      <c r="F54" s="309" t="n">
        <v>830230</v>
      </c>
      <c r="H54" s="164" t="n"/>
      <c r="I54" s="582" t="inlineStr">
        <is>
          <t>CTSH</t>
        </is>
      </c>
      <c r="J54" s="540" t="n"/>
      <c r="K54" s="166" t="inlineStr">
        <is>
          <t>KR</t>
        </is>
      </c>
    </row>
    <row r="55">
      <c r="A55" s="161" t="n"/>
      <c r="B55" s="162" t="inlineStr">
        <is>
          <t>E1490001294</t>
        </is>
      </c>
      <c r="C55" s="163" t="n"/>
      <c r="D55" s="164" t="inlineStr">
        <is>
          <t>Bracket Air Pump</t>
        </is>
      </c>
      <c r="E55" s="165" t="n"/>
      <c r="F55" s="309" t="n">
        <v>830230</v>
      </c>
      <c r="H55" s="164" t="n"/>
      <c r="I55" s="582" t="inlineStr">
        <is>
          <t>CTSH</t>
        </is>
      </c>
      <c r="J55" s="540" t="n"/>
      <c r="K55" s="166" t="inlineStr">
        <is>
          <t>KR</t>
        </is>
      </c>
    </row>
    <row r="56">
      <c r="A56" s="161" t="n"/>
      <c r="B56" s="162" t="inlineStr">
        <is>
          <t>E1490001146</t>
        </is>
      </c>
      <c r="C56" s="163" t="n"/>
      <c r="D56" s="164" t="inlineStr">
        <is>
          <t>Bracket Air Pump</t>
        </is>
      </c>
      <c r="E56" s="165" t="n"/>
      <c r="F56" s="309" t="n">
        <v>830231</v>
      </c>
      <c r="H56" s="164" t="n"/>
      <c r="I56" s="582" t="inlineStr">
        <is>
          <t>CTSH</t>
        </is>
      </c>
      <c r="J56" s="540" t="n"/>
      <c r="K56" s="166" t="inlineStr">
        <is>
          <t>KR</t>
        </is>
      </c>
    </row>
    <row r="57">
      <c r="A57" s="161" t="n"/>
      <c r="B57" s="162" t="inlineStr">
        <is>
          <t>E1490001279</t>
        </is>
      </c>
      <c r="C57" s="163" t="n"/>
      <c r="D57" s="164" t="inlineStr">
        <is>
          <t>Bracket Air Pump</t>
        </is>
      </c>
      <c r="E57" s="165" t="n"/>
      <c r="F57" s="309" t="n">
        <v>830230</v>
      </c>
      <c r="H57" s="164" t="n"/>
      <c r="I57" s="582" t="inlineStr">
        <is>
          <t>CTSH</t>
        </is>
      </c>
      <c r="J57" s="540" t="n"/>
      <c r="K57" s="166" t="inlineStr">
        <is>
          <t>KR</t>
        </is>
      </c>
    </row>
    <row r="58">
      <c r="A58" s="161" t="n"/>
      <c r="B58" s="162" t="inlineStr">
        <is>
          <t>E1490005081</t>
        </is>
      </c>
      <c r="C58" s="163" t="n"/>
      <c r="D58" s="164" t="inlineStr">
        <is>
          <t>Bracket Air Pump</t>
        </is>
      </c>
      <c r="E58" s="165" t="n"/>
      <c r="F58" s="309" t="n">
        <v>830230</v>
      </c>
      <c r="H58" s="164" t="n"/>
      <c r="I58" s="582" t="inlineStr">
        <is>
          <t>CTSH</t>
        </is>
      </c>
      <c r="J58" s="540" t="n"/>
      <c r="K58" s="166" t="inlineStr">
        <is>
          <t>KR</t>
        </is>
      </c>
    </row>
    <row r="59" ht="17.25" customHeight="1" thickBot="1">
      <c r="A59" s="161" t="n"/>
      <c r="B59" s="162" t="inlineStr">
        <is>
          <t>C1490018833A0</t>
        </is>
      </c>
      <c r="C59" s="163" t="n"/>
      <c r="D59" s="164" t="inlineStr">
        <is>
          <t>Bracket Air Pump</t>
        </is>
      </c>
      <c r="E59" s="165" t="n"/>
      <c r="F59" s="309" t="n">
        <v>830230</v>
      </c>
      <c r="H59" s="167" t="n"/>
      <c r="I59" s="582" t="inlineStr">
        <is>
          <t>CTSH</t>
        </is>
      </c>
      <c r="J59" s="540" t="n"/>
      <c r="K59" s="166" t="inlineStr">
        <is>
          <t>KR</t>
        </is>
      </c>
    </row>
    <row r="60" ht="17.25" customHeight="1" thickTop="1">
      <c r="A60" s="583" t="inlineStr">
        <is>
          <t>6. Observations:</t>
        </is>
      </c>
      <c r="B60" s="535" t="n"/>
      <c r="C60" s="535" t="n"/>
      <c r="D60" s="535" t="n"/>
      <c r="E60" s="535" t="n"/>
      <c r="F60" s="535" t="n"/>
      <c r="G60" s="535" t="n"/>
      <c r="H60" s="535" t="n"/>
      <c r="I60" s="535" t="n"/>
      <c r="J60" s="535" t="n"/>
      <c r="K60" s="538" t="n"/>
    </row>
    <row r="61" ht="17.25" customHeight="1" thickBot="1">
      <c r="A61" s="584" t="inlineStr">
        <is>
          <t xml:space="preserve">   (특이사항)</t>
        </is>
      </c>
      <c r="B61" s="530" t="n"/>
      <c r="C61" s="530" t="n"/>
      <c r="D61" s="530" t="n"/>
      <c r="E61" s="530" t="n"/>
      <c r="F61" s="530" t="n"/>
      <c r="G61" s="530" t="n"/>
      <c r="H61" s="530" t="n"/>
      <c r="I61" s="530" t="n"/>
      <c r="J61" s="530" t="n"/>
      <c r="K61" s="531" t="n"/>
    </row>
    <row r="62" ht="17.25" customHeight="1" thickTop="1">
      <c r="A62" s="585" t="inlineStr">
        <is>
          <t>I certify that:</t>
        </is>
      </c>
      <c r="B62" s="535" t="n"/>
      <c r="C62" s="535" t="n"/>
      <c r="D62" s="535" t="n"/>
      <c r="E62" s="535" t="n"/>
      <c r="F62" s="535" t="n"/>
      <c r="G62" s="535" t="n"/>
      <c r="H62" s="535" t="n"/>
      <c r="I62" s="535" t="n"/>
      <c r="J62" s="535" t="n"/>
      <c r="K62" s="538" t="n"/>
    </row>
    <row r="63">
      <c r="A63" s="586" t="inlineStr">
        <is>
          <t>본인은 다음 사항을 확인합니다.</t>
        </is>
      </c>
      <c r="K63" s="545" t="n"/>
    </row>
    <row r="64">
      <c r="A64" s="586" t="inlineStr">
        <is>
          <t xml:space="preserve">- The information in this document is true and accurate and I assume the responsibility for proving such representations. </t>
        </is>
      </c>
      <c r="K64" s="545" t="n"/>
    </row>
    <row r="65">
      <c r="A65" s="586" t="inlineStr">
        <is>
          <t>I understand that I am liable for any false statements or material omissions made on or in connection with this document.</t>
        </is>
      </c>
      <c r="K65" s="545" t="n"/>
    </row>
    <row r="66" ht="21" customHeight="1">
      <c r="A66" s="586" t="inlineStr">
        <is>
          <t>상기 서식에 기재된 내용은 사실이고 정확하며, 기재된 사항에 대한 책임은 본인에게 있습니다. 이 증명서 또는 이와 관련한 허위 진술 또는 중대한 사실 누락에 대해서는 본인에게 책임이 있음을 확인합니다.</t>
        </is>
      </c>
      <c r="K66" s="545" t="n"/>
    </row>
    <row r="67" ht="21" customHeight="1">
      <c r="A67" s="586" t="inlineStr">
        <is>
          <t>- I agree to maintain, and present upon request, documentation necessary to support this Certificate, and to inform, in writing, all persons to whom the Certificate was given of any changes that would affect the accuracy or validity of this Certificate.</t>
        </is>
      </c>
      <c r="K67" s="545" t="n"/>
    </row>
    <row r="68" ht="21" customHeight="1">
      <c r="A68" s="586" t="inlineStr">
        <is>
          <t xml:space="preserve">본인은 이 증명서를 입증하는데 필요한 문서를 보관하며, 요청이 있을 경우 이를 제출할 뿐 아니라, 이 증명서의 정확성이나 유효기간에 영향을 미치는 여타 변동사항에 대해서 이 증명서를 받은 관계자들에게 서면으로 통보할 것에 동의합니다. </t>
        </is>
      </c>
      <c r="K68" s="545" t="n"/>
    </row>
    <row r="69" ht="21" customHeight="1">
      <c r="A69" s="586" t="inlineStr">
        <is>
          <t>- The goods originate in the territory of one or both Parties and comply with the origin requirements specified for those goods in the Korea -United State of America Free Trade Agreement.</t>
        </is>
      </c>
      <c r="K69" s="545" t="n"/>
    </row>
    <row r="70">
      <c r="A70" s="586" t="inlineStr">
        <is>
          <t>해당 물품은 대한민국과 미합중국간의 자유무역협정에 따른 원산지결정기준을 충족하고 있음을 확인합니다.</t>
        </is>
      </c>
      <c r="K70" s="545" t="n"/>
    </row>
    <row r="71">
      <c r="A71" s="586" t="inlineStr">
        <is>
          <t>This Certificate consists of ______ pages, including all attachments.</t>
        </is>
      </c>
      <c r="K71" s="545" t="n"/>
    </row>
    <row r="72">
      <c r="A72" s="587" t="inlineStr">
        <is>
          <t>이 증명서는 첨부서류를 포함하여 총___장으로 구성되어 있습니다.</t>
        </is>
      </c>
      <c r="K72" s="545" t="n"/>
    </row>
    <row r="73" ht="17.25" customHeight="1" thickBot="1">
      <c r="A73" s="588" t="n"/>
      <c r="B73" s="530" t="n"/>
      <c r="C73" s="530" t="n"/>
      <c r="D73" s="530" t="n"/>
      <c r="E73" s="530" t="n"/>
      <c r="F73" s="530" t="n"/>
      <c r="G73" s="530" t="n"/>
      <c r="H73" s="530" t="n"/>
      <c r="I73" s="530" t="n"/>
      <c r="J73" s="530" t="n"/>
      <c r="K73" s="531" t="n"/>
    </row>
    <row r="74" ht="17.25" customHeight="1" thickTop="1">
      <c r="A74" s="589" t="inlineStr">
        <is>
          <t>7. Authorized Signature</t>
        </is>
      </c>
      <c r="B74" s="535" t="n"/>
      <c r="C74" s="535" t="n"/>
      <c r="D74" s="535" t="n"/>
      <c r="E74" s="535" t="n"/>
      <c r="F74" s="590" t="n"/>
      <c r="G74" s="591" t="inlineStr">
        <is>
          <t xml:space="preserve"> Company</t>
        </is>
      </c>
      <c r="H74" s="535" t="n"/>
      <c r="I74" s="535" t="n"/>
      <c r="J74" s="535" t="n"/>
      <c r="K74" s="538" t="n"/>
    </row>
    <row r="75" ht="17.25" customHeight="1" thickBot="1">
      <c r="A75" s="592" t="inlineStr">
        <is>
          <t xml:space="preserve">  (서명권자의 서명)</t>
        </is>
      </c>
      <c r="B75" s="593" t="n"/>
      <c r="C75" s="593" t="n"/>
      <c r="D75" s="593" t="n"/>
      <c r="E75" s="593" t="n"/>
      <c r="F75" s="594" t="n"/>
      <c r="G75" s="595" t="inlineStr">
        <is>
          <t xml:space="preserve"> (회사명) Kyung Chang Precision</t>
        </is>
      </c>
      <c r="H75" s="593" t="n"/>
      <c r="I75" s="593" t="n"/>
      <c r="J75" s="593" t="n"/>
      <c r="K75" s="596" t="n"/>
    </row>
    <row r="76">
      <c r="A76" s="597" t="inlineStr">
        <is>
          <t xml:space="preserve"> Name: Sung Yeub, Lee</t>
        </is>
      </c>
      <c r="B76" s="598" t="n"/>
      <c r="C76" s="598" t="n"/>
      <c r="D76" s="598" t="n"/>
      <c r="E76" s="598" t="n"/>
      <c r="F76" s="599" t="n"/>
      <c r="G76" s="600" t="inlineStr">
        <is>
          <t xml:space="preserve"> Title  Sales Assistant Manager</t>
        </is>
      </c>
      <c r="H76" s="598" t="n"/>
      <c r="I76" s="598" t="n"/>
      <c r="J76" s="598" t="n"/>
      <c r="K76" s="601" t="n"/>
    </row>
    <row r="77" ht="17.25" customHeight="1" thickBot="1">
      <c r="A77" s="592" t="inlineStr">
        <is>
          <t xml:space="preserve"> (작성자 성명)</t>
        </is>
      </c>
      <c r="B77" s="593" t="n"/>
      <c r="C77" s="593" t="n"/>
      <c r="D77" s="593" t="n"/>
      <c r="E77" s="593" t="n"/>
      <c r="F77" s="594" t="n"/>
      <c r="G77" s="595" t="inlineStr">
        <is>
          <t xml:space="preserve"> (직위)</t>
        </is>
      </c>
      <c r="H77" s="593" t="n"/>
      <c r="I77" s="593" t="n"/>
      <c r="J77" s="593" t="n"/>
      <c r="K77" s="596" t="n"/>
    </row>
    <row r="78" ht="16.5" customHeight="1">
      <c r="A78" s="597" t="inlineStr">
        <is>
          <t xml:space="preserve"> YYYY          MM     DD</t>
        </is>
      </c>
      <c r="B78" s="598" t="n"/>
      <c r="C78" s="598" t="n"/>
      <c r="D78" s="598" t="n"/>
      <c r="E78" s="598" t="n"/>
      <c r="F78" s="599" t="n"/>
      <c r="G78" s="602" t="inlineStr">
        <is>
          <t xml:space="preserve"> Telephone :82 53 721 1844    Fax: 82 53 718 2494
 (전화번호)                   (팩스번호)</t>
        </is>
      </c>
      <c r="H78" s="598" t="n"/>
      <c r="I78" s="598" t="n"/>
      <c r="J78" s="598" t="n"/>
      <c r="K78" s="601" t="n"/>
    </row>
    <row r="79" ht="16.5" customHeight="1">
      <c r="A79" s="603" t="inlineStr">
        <is>
          <t xml:space="preserve"> (년)         (월)   (일)</t>
        </is>
      </c>
      <c r="F79" s="604" t="n"/>
      <c r="G79" s="605" t="n"/>
      <c r="K79" s="545" t="n"/>
    </row>
    <row r="80" ht="17.25" customHeight="1" thickBot="1">
      <c r="A80" s="606" t="inlineStr">
        <is>
          <t xml:space="preserve">  2014/10/7/ </t>
        </is>
      </c>
      <c r="B80" s="562" t="n"/>
      <c r="C80" s="562" t="n"/>
      <c r="D80" s="562" t="n"/>
      <c r="E80" s="562" t="n"/>
      <c r="F80" s="607" t="n"/>
      <c r="G80" s="608" t="n"/>
      <c r="H80" s="562" t="n"/>
      <c r="I80" s="562" t="n"/>
      <c r="J80" s="562" t="n"/>
      <c r="K80" s="609" t="n"/>
    </row>
    <row r="81" ht="19.5" customHeight="1" thickTop="1">
      <c r="A81" s="168" t="n"/>
    </row>
    <row r="82">
      <c r="A82" s="169" t="n"/>
    </row>
  </sheetData>
  <mergeCells count="145">
    <mergeCell ref="H17:I18"/>
    <mergeCell ref="G12:K12"/>
    <mergeCell ref="G77:K77"/>
    <mergeCell ref="D5:F6"/>
    <mergeCell ref="A64:K64"/>
    <mergeCell ref="F29:G29"/>
    <mergeCell ref="A75:F75"/>
    <mergeCell ref="D19:F20"/>
    <mergeCell ref="A73:K73"/>
    <mergeCell ref="F25:G25"/>
    <mergeCell ref="A1:E1"/>
    <mergeCell ref="A60:K60"/>
    <mergeCell ref="H19:I20"/>
    <mergeCell ref="I26:J26"/>
    <mergeCell ref="A70:K70"/>
    <mergeCell ref="I25:J25"/>
    <mergeCell ref="D9:F9"/>
    <mergeCell ref="I58:J58"/>
    <mergeCell ref="G78:K80"/>
    <mergeCell ref="I42:J42"/>
    <mergeCell ref="A2:K2"/>
    <mergeCell ref="I52:J52"/>
    <mergeCell ref="D13:F14"/>
    <mergeCell ref="F56:G56"/>
    <mergeCell ref="D7:F8"/>
    <mergeCell ref="F43:G43"/>
    <mergeCell ref="I44:J44"/>
    <mergeCell ref="A22:K22"/>
    <mergeCell ref="J21:K21"/>
    <mergeCell ref="A62:K62"/>
    <mergeCell ref="D15:F16"/>
    <mergeCell ref="F57:G57"/>
    <mergeCell ref="G9:K9"/>
    <mergeCell ref="I30:J30"/>
    <mergeCell ref="F54:G54"/>
    <mergeCell ref="I46:J46"/>
    <mergeCell ref="F34:G34"/>
    <mergeCell ref="G11:K11"/>
    <mergeCell ref="A61:K61"/>
    <mergeCell ref="I57:J57"/>
    <mergeCell ref="F30:G30"/>
    <mergeCell ref="I54:J54"/>
    <mergeCell ref="I32:J32"/>
    <mergeCell ref="I41:J41"/>
    <mergeCell ref="F33:G33"/>
    <mergeCell ref="F45:G45"/>
    <mergeCell ref="F42:G42"/>
    <mergeCell ref="I56:J56"/>
    <mergeCell ref="D17:F18"/>
    <mergeCell ref="D11:F12"/>
    <mergeCell ref="I43:J43"/>
    <mergeCell ref="F47:G47"/>
    <mergeCell ref="C17:C18"/>
    <mergeCell ref="A5:B12"/>
    <mergeCell ref="I24:J24"/>
    <mergeCell ref="I33:J33"/>
    <mergeCell ref="A71:K71"/>
    <mergeCell ref="F31:G31"/>
    <mergeCell ref="F46:G46"/>
    <mergeCell ref="F28:G28"/>
    <mergeCell ref="J13:K14"/>
    <mergeCell ref="C19:C20"/>
    <mergeCell ref="F39:G39"/>
    <mergeCell ref="I35:J35"/>
    <mergeCell ref="F48:G48"/>
    <mergeCell ref="A79:F79"/>
    <mergeCell ref="J15:K16"/>
    <mergeCell ref="A63:K63"/>
    <mergeCell ref="I59:J59"/>
    <mergeCell ref="A68:K68"/>
    <mergeCell ref="D21:F21"/>
    <mergeCell ref="F24:H24"/>
    <mergeCell ref="C5:C6"/>
    <mergeCell ref="B23:D23"/>
    <mergeCell ref="A74:F74"/>
    <mergeCell ref="I45:J45"/>
    <mergeCell ref="G8:K8"/>
    <mergeCell ref="F23:H23"/>
    <mergeCell ref="A69:K69"/>
    <mergeCell ref="H21:I21"/>
    <mergeCell ref="F53:G53"/>
    <mergeCell ref="A76:F76"/>
    <mergeCell ref="I47:J47"/>
    <mergeCell ref="A65:K65"/>
    <mergeCell ref="G10:K10"/>
    <mergeCell ref="I37:J37"/>
    <mergeCell ref="F36:G36"/>
    <mergeCell ref="F50:G50"/>
    <mergeCell ref="G6:K6"/>
    <mergeCell ref="J17:K18"/>
    <mergeCell ref="G74:K74"/>
    <mergeCell ref="C7:C8"/>
    <mergeCell ref="G5:K5"/>
    <mergeCell ref="I23:J23"/>
    <mergeCell ref="J19:K20"/>
    <mergeCell ref="A4:K4"/>
    <mergeCell ref="I51:J51"/>
    <mergeCell ref="F49:G49"/>
    <mergeCell ref="I50:J50"/>
    <mergeCell ref="A78:F78"/>
    <mergeCell ref="A67:K67"/>
    <mergeCell ref="I34:J34"/>
    <mergeCell ref="G13:G21"/>
    <mergeCell ref="A80:F80"/>
    <mergeCell ref="I49:J49"/>
    <mergeCell ref="I27:J27"/>
    <mergeCell ref="I36:J36"/>
    <mergeCell ref="A13:B21"/>
    <mergeCell ref="F40:G40"/>
    <mergeCell ref="H13:I14"/>
    <mergeCell ref="F59:G59"/>
    <mergeCell ref="F55:G55"/>
    <mergeCell ref="G7:K7"/>
    <mergeCell ref="F51:G51"/>
    <mergeCell ref="H15:I16"/>
    <mergeCell ref="C11:C12"/>
    <mergeCell ref="I53:J53"/>
    <mergeCell ref="F32:G32"/>
    <mergeCell ref="A66:K66"/>
    <mergeCell ref="I28:J28"/>
    <mergeCell ref="F41:G41"/>
    <mergeCell ref="F26:G26"/>
    <mergeCell ref="B24:D24"/>
    <mergeCell ref="F35:G35"/>
    <mergeCell ref="A3:K3"/>
    <mergeCell ref="F38:G38"/>
    <mergeCell ref="I55:J55"/>
    <mergeCell ref="I39:J39"/>
    <mergeCell ref="A77:F77"/>
    <mergeCell ref="I48:J48"/>
    <mergeCell ref="F27:G27"/>
    <mergeCell ref="F52:G52"/>
    <mergeCell ref="F58:G58"/>
    <mergeCell ref="D10:F10"/>
    <mergeCell ref="C13:C14"/>
    <mergeCell ref="F37:G37"/>
    <mergeCell ref="I29:J29"/>
    <mergeCell ref="I38:J38"/>
    <mergeCell ref="G76:K76"/>
    <mergeCell ref="A72:K72"/>
    <mergeCell ref="C15:C16"/>
    <mergeCell ref="I31:J31"/>
    <mergeCell ref="G75:K75"/>
    <mergeCell ref="I40:J40"/>
    <mergeCell ref="F44:G44"/>
  </mergeCells>
  <hyperlinks>
    <hyperlink xmlns:r="http://schemas.openxmlformats.org/officeDocument/2006/relationships" ref="D11" r:id="rId1"/>
    <hyperlink xmlns:r="http://schemas.openxmlformats.org/officeDocument/2006/relationships" ref="D21" r:id="rId2"/>
    <hyperlink xmlns:r="http://schemas.openxmlformats.org/officeDocument/2006/relationships" ref="J21" r:id="rId3"/>
  </hyperlinks>
  <printOptions horizontalCentered="1"/>
  <pageMargins left="0.5511811023622047" right="0.5118110236220472" top="0.7480314960629921" bottom="0.7480314960629921" header="0.3149606299212598" footer="0.3149606299212598"/>
  <pageSetup orientation="portrait" paperSize="9" scale="73"/>
  <drawing xmlns:r="http://schemas.openxmlformats.org/officeDocument/2006/relationships" r:id="rId4"/>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황병욱</dc:creator>
  <dcterms:created xmlns:dcterms="http://purl.org/dc/terms/" xmlns:xsi="http://www.w3.org/2001/XMLSchema-instance" xsi:type="dcterms:W3CDTF">1998-03-26T03:01:15Z</dcterms:created>
  <dcterms:modified xmlns:dcterms="http://purl.org/dc/terms/" xmlns:xsi="http://www.w3.org/2001/XMLSchema-instance" xsi:type="dcterms:W3CDTF">2026-06-17T12:58:45Z</dcterms:modified>
  <cp:lastModifiedBy>Lee, Sung-yeub/Senior Manager/Sales Team(P)</cp:lastModifiedBy>
  <cp:lastPrinted>2019-02-28T01:57:33Z</cp:lastPrinted>
</cp:coreProperties>
</file>

<file path=docProps/custom.xml><?xml version="1.0" encoding="utf-8"?>
<Properties xmlns="http://schemas.openxmlformats.org/officeDocument/2006/custom-properties">
  <property name="MSIP_Label_0f5fcba1-1ea9-48f5-95bd-13949d21cd13_SiteId" fmtid="{D5CDD505-2E9C-101B-9397-08002B2CF9AE}" pid="2">
    <vt:lpwstr xmlns:vt="http://schemas.openxmlformats.org/officeDocument/2006/docPropsVTypes">4efec909-b866-43c2-93f0-7a2336f855b3</vt:lpwstr>
  </property>
  <property name="MSIP_Label_0f5fcba1-1ea9-48f5-95bd-13949d21cd13_SetDate" fmtid="{D5CDD505-2E9C-101B-9397-08002B2CF9AE}" pid="3">
    <vt:lpwstr xmlns:vt="http://schemas.openxmlformats.org/officeDocument/2006/docPropsVTypes">2026-03-11T03:33:21Z</vt:lpwstr>
  </property>
  <property name="MSIP_Label_0f5fcba1-1ea9-48f5-95bd-13949d21cd13_Name" fmtid="{D5CDD505-2E9C-101B-9397-08002B2CF9AE}" pid="4">
    <vt:lpwstr xmlns:vt="http://schemas.openxmlformats.org/officeDocument/2006/docPropsVTypes">Confidential</vt:lpwstr>
  </property>
  <property name="MSIP_Label_0f5fcba1-1ea9-48f5-95bd-13949d21cd13_Method" fmtid="{D5CDD505-2E9C-101B-9397-08002B2CF9AE}" pid="5">
    <vt:lpwstr xmlns:vt="http://schemas.openxmlformats.org/officeDocument/2006/docPropsVTypes">Privileged</vt:lpwstr>
  </property>
  <property name="MSIP_Label_0f5fcba1-1ea9-48f5-95bd-13949d21cd13_Enabled" fmtid="{D5CDD505-2E9C-101B-9397-08002B2CF9AE}" pid="6">
    <vt:lpwstr xmlns:vt="http://schemas.openxmlformats.org/officeDocument/2006/docPropsVTypes">true</vt:lpwstr>
  </property>
  <property name="MSIP_Label_0f5fcba1-1ea9-48f5-95bd-13949d21cd13_ContentBits" fmtid="{D5CDD505-2E9C-101B-9397-08002B2CF9AE}" pid="7">
    <vt:lpwstr xmlns:vt="http://schemas.openxmlformats.org/officeDocument/2006/docPropsVTypes">8</vt:lpwstr>
  </property>
  <property name="MSIP_Label_0f5fcba1-1ea9-48f5-95bd-13949d21cd13_ActionId" fmtid="{D5CDD505-2E9C-101B-9397-08002B2CF9AE}" pid="8">
    <vt:lpwstr xmlns:vt="http://schemas.openxmlformats.org/officeDocument/2006/docPropsVTypes">a6c293f2-9613-4e6d-a101-208fa1861da8</vt:lpwstr>
  </property>
</Properties>
</file>