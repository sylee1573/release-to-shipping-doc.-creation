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ylee\Desktop\"/>
    </mc:Choice>
  </mc:AlternateContent>
  <xr:revisionPtr revIDLastSave="0" documentId="13_ncr:101_{72ADB55E-A8A2-4725-8D36-33D3589E03D9}" xr6:coauthVersionLast="47" xr6:coauthVersionMax="47" xr10:uidLastSave="{00000000-0000-0000-0000-000000000000}"/>
  <bookViews>
    <workbookView xWindow="-120" yWindow="-120" windowWidth="29040" windowHeight="15840" tabRatio="737" xr2:uid="{0AC93880-6DDE-49F0-A940-C4CC15E15D5B}"/>
  </bookViews>
  <sheets>
    <sheet name="IN" sheetId="43" r:id="rId1"/>
    <sheet name="PA" sheetId="42" r:id="rId2"/>
    <sheet name="INVOICE" sheetId="37" r:id="rId3"/>
    <sheet name="PACKING" sheetId="10" r:id="rId4"/>
    <sheet name="쉬핑마크1" sheetId="40" r:id="rId5"/>
    <sheet name="Skid" sheetId="44" r:id="rId6"/>
    <sheet name="MASTER" sheetId="39" r:id="rId7"/>
    <sheet name="출고증 (2)" sheetId="48" r:id="rId8"/>
    <sheet name="원산지증명" sheetId="45" r:id="rId9"/>
  </sheets>
  <definedNames>
    <definedName name="_xlnm.Print_Area" localSheetId="0">IN!$A$1:$O$66</definedName>
    <definedName name="_xlnm.Print_Area" localSheetId="1">PA!$A$1:$O$66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3" i="48" l="1"/>
  <c r="D40" i="48"/>
  <c r="D42" i="48"/>
  <c r="D38" i="48"/>
  <c r="C39" i="48"/>
  <c r="C40" i="48"/>
  <c r="D41" i="48"/>
  <c r="D35" i="48"/>
  <c r="C41" i="48"/>
  <c r="D39" i="48"/>
  <c r="D31" i="48"/>
  <c r="C47" i="48"/>
  <c r="I9" i="48"/>
  <c r="C48" i="48"/>
  <c r="C46" i="48"/>
  <c r="C23" i="48"/>
  <c r="D23" i="48"/>
  <c r="C20" i="48"/>
  <c r="C45" i="48"/>
  <c r="C27" i="48"/>
  <c r="D45" i="48"/>
  <c r="D27" i="48"/>
  <c r="C19" i="48"/>
  <c r="A2" i="37"/>
  <c r="C2" i="37"/>
  <c r="D2" i="37"/>
  <c r="D3" i="37"/>
  <c r="A2" i="10"/>
  <c r="K2" i="10"/>
  <c r="G2" i="10"/>
  <c r="B9" i="40"/>
  <c r="B7" i="40"/>
  <c r="N2" i="39"/>
  <c r="G3" i="39"/>
  <c r="F8" i="40"/>
  <c r="C29" i="48"/>
  <c r="D29" i="48"/>
  <c r="C34" i="48"/>
  <c r="C21" i="48"/>
  <c r="C22" i="48"/>
  <c r="C24" i="48"/>
  <c r="C25" i="48"/>
  <c r="C26" i="48"/>
  <c r="C28" i="48"/>
  <c r="C30" i="48"/>
  <c r="C31" i="48"/>
  <c r="C32" i="48"/>
  <c r="C33" i="48"/>
  <c r="C35" i="48"/>
  <c r="C36" i="48"/>
  <c r="C37" i="48"/>
  <c r="C38" i="48"/>
  <c r="C42" i="48"/>
  <c r="C43" i="48"/>
  <c r="C44" i="48"/>
  <c r="D25" i="48"/>
  <c r="D21" i="48"/>
  <c r="D22" i="48"/>
  <c r="B3" i="40"/>
  <c r="B5" i="40"/>
  <c r="B10" i="40"/>
  <c r="D28" i="48"/>
  <c r="D30" i="48"/>
  <c r="D44" i="48"/>
  <c r="A1" i="37"/>
  <c r="E1" i="37"/>
  <c r="A1" i="10"/>
  <c r="B1" i="10"/>
  <c r="B3" i="10"/>
  <c r="K1" i="10"/>
  <c r="E9" i="48"/>
  <c r="B18" i="39"/>
  <c r="F2" i="40"/>
  <c r="E9" i="10"/>
  <c r="F9" i="10"/>
  <c r="K9" i="10"/>
  <c r="G9" i="10"/>
  <c r="F7" i="40"/>
  <c r="F3" i="40"/>
  <c r="D46" i="48"/>
  <c r="D34" i="48"/>
  <c r="D33" i="48"/>
  <c r="D47" i="48"/>
  <c r="D48" i="48"/>
  <c r="D37" i="48"/>
  <c r="D36" i="48"/>
  <c r="D24" i="48"/>
  <c r="E2" i="37"/>
  <c r="F2" i="37"/>
  <c r="D32" i="48"/>
  <c r="D20" i="48"/>
  <c r="D26" i="48"/>
  <c r="D11" i="40"/>
  <c r="F1" i="37"/>
  <c r="B1" i="37"/>
  <c r="B3" i="37"/>
  <c r="C1" i="37"/>
  <c r="N3" i="39"/>
  <c r="N17" i="39"/>
  <c r="N18" i="39"/>
  <c r="B2" i="37"/>
  <c r="P3" i="39"/>
  <c r="Q3" i="39"/>
  <c r="F2" i="10"/>
  <c r="F3" i="10"/>
  <c r="D19" i="48"/>
  <c r="D49" i="48"/>
  <c r="C18" i="48"/>
  <c r="P2" i="39"/>
  <c r="D18" i="48"/>
  <c r="P17" i="39"/>
  <c r="Q17" i="39"/>
  <c r="Q2" i="39"/>
  <c r="F1" i="10"/>
  <c r="G2" i="39"/>
  <c r="C1" i="10"/>
  <c r="C3" i="10"/>
  <c r="F4" i="40"/>
  <c r="G1" i="10"/>
  <c r="B2" i="10"/>
  <c r="D2" i="10"/>
  <c r="E2" i="10"/>
  <c r="H1" i="10"/>
  <c r="H2" i="10"/>
  <c r="C17" i="39"/>
  <c r="C2" i="10"/>
  <c r="G17" i="39"/>
  <c r="G18" i="39"/>
  <c r="M19" i="39"/>
  <c r="H12" i="40"/>
  <c r="D12" i="40"/>
  <c r="D1" i="37"/>
  <c r="D1" i="10"/>
  <c r="E1" i="10"/>
  <c r="E3" i="10"/>
  <c r="D3" i="10"/>
</calcChain>
</file>

<file path=xl/sharedStrings.xml><?xml version="1.0" encoding="utf-8"?>
<sst xmlns="http://schemas.openxmlformats.org/spreadsheetml/2006/main" count="450" uniqueCount="268">
  <si>
    <t xml:space="preserve">   KYUNG CHANG PRECISION IND. CO., LTD.</t>
  </si>
  <si>
    <t xml:space="preserve">   DAEGU, KOREA.</t>
  </si>
  <si>
    <t>49R-1897</t>
  </si>
  <si>
    <t>34R-15044</t>
  </si>
  <si>
    <t>11100011A</t>
  </si>
  <si>
    <t>11100044A</t>
  </si>
  <si>
    <t>Q'TY :</t>
    <phoneticPr fontId="6" type="noConversion"/>
  </si>
  <si>
    <t>C/NO :</t>
    <phoneticPr fontId="6" type="noConversion"/>
  </si>
  <si>
    <t>MADE IN KOREA</t>
    <phoneticPr fontId="6" type="noConversion"/>
  </si>
  <si>
    <t>----------------------</t>
    <phoneticPr fontId="6" type="noConversion"/>
  </si>
  <si>
    <t>Qty_box</t>
    <phoneticPr fontId="6" type="noConversion"/>
  </si>
  <si>
    <t>Pallet</t>
    <phoneticPr fontId="6" type="noConversion"/>
  </si>
  <si>
    <t>박수총중량</t>
    <phoneticPr fontId="6" type="noConversion"/>
  </si>
  <si>
    <r>
      <t>총</t>
    </r>
    <r>
      <rPr>
        <sz val="11"/>
        <rFont val="Arial"/>
        <family val="2"/>
      </rPr>
      <t xml:space="preserve"> Net--&gt;</t>
    </r>
    <phoneticPr fontId="6" type="noConversion"/>
  </si>
  <si>
    <t>NO</t>
    <phoneticPr fontId="6" type="noConversion"/>
  </si>
  <si>
    <t>P/N</t>
    <phoneticPr fontId="6" type="noConversion"/>
  </si>
  <si>
    <t>QTY</t>
    <phoneticPr fontId="6" type="noConversion"/>
  </si>
  <si>
    <t>RAN</t>
    <phoneticPr fontId="6" type="noConversion"/>
  </si>
  <si>
    <t>CUM</t>
    <phoneticPr fontId="6" type="noConversion"/>
  </si>
  <si>
    <t>BOX_QTY</t>
    <phoneticPr fontId="6" type="noConversion"/>
  </si>
  <si>
    <t>DUE</t>
    <phoneticPr fontId="6" type="noConversion"/>
  </si>
  <si>
    <t>UNIT PRICE</t>
    <phoneticPr fontId="6" type="noConversion"/>
  </si>
  <si>
    <t>PO#</t>
    <phoneticPr fontId="6" type="noConversion"/>
  </si>
  <si>
    <t>NET WEIGHT</t>
    <phoneticPr fontId="6" type="noConversion"/>
  </si>
  <si>
    <t>PN   :</t>
    <phoneticPr fontId="6" type="noConversion"/>
  </si>
  <si>
    <t>PACKING LIST</t>
    <phoneticPr fontId="6" type="noConversion"/>
  </si>
  <si>
    <t xml:space="preserve">   (fax) : 82-53-582-1786</t>
    <phoneticPr fontId="6" type="noConversion"/>
  </si>
  <si>
    <t xml:space="preserve">   Goods</t>
    <phoneticPr fontId="6" type="noConversion"/>
  </si>
  <si>
    <t xml:space="preserve">    (pcs)</t>
    <phoneticPr fontId="6" type="noConversion"/>
  </si>
  <si>
    <t>박스적입</t>
    <phoneticPr fontId="6" type="noConversion"/>
  </si>
  <si>
    <t>Gross Weight</t>
    <phoneticPr fontId="6" type="noConversion"/>
  </si>
  <si>
    <t>박스중량</t>
    <phoneticPr fontId="6" type="noConversion"/>
  </si>
  <si>
    <t>TOTAL</t>
    <phoneticPr fontId="6" type="noConversion"/>
  </si>
  <si>
    <t>가로</t>
    <phoneticPr fontId="6" type="noConversion"/>
  </si>
  <si>
    <t>세로</t>
    <phoneticPr fontId="6" type="noConversion"/>
  </si>
  <si>
    <t>높이</t>
    <phoneticPr fontId="6" type="noConversion"/>
  </si>
  <si>
    <t>9.Description of</t>
    <phoneticPr fontId="6" type="noConversion"/>
  </si>
  <si>
    <t>10.Quantity</t>
    <phoneticPr fontId="6" type="noConversion"/>
  </si>
  <si>
    <t>11.Box</t>
    <phoneticPr fontId="6" type="noConversion"/>
  </si>
  <si>
    <t>12.Net</t>
    <phoneticPr fontId="6" type="noConversion"/>
  </si>
  <si>
    <t>13.Gross</t>
    <phoneticPr fontId="6" type="noConversion"/>
  </si>
  <si>
    <t>14.Measure-</t>
    <phoneticPr fontId="6" type="noConversion"/>
  </si>
  <si>
    <t>16.RAN#</t>
    <phoneticPr fontId="6" type="noConversion"/>
  </si>
  <si>
    <t xml:space="preserve">   Weight</t>
    <phoneticPr fontId="6" type="noConversion"/>
  </si>
  <si>
    <t xml:space="preserve">   ment</t>
    <phoneticPr fontId="6" type="noConversion"/>
  </si>
  <si>
    <t xml:space="preserve">  (pcs)</t>
    <phoneticPr fontId="6" type="noConversion"/>
  </si>
  <si>
    <t xml:space="preserve">   (kg)</t>
    <phoneticPr fontId="6" type="noConversion"/>
  </si>
  <si>
    <t xml:space="preserve"> (CBM)</t>
    <phoneticPr fontId="6" type="noConversion"/>
  </si>
  <si>
    <t>8.Marks and Numbers of PKGS</t>
    <phoneticPr fontId="6" type="noConversion"/>
  </si>
  <si>
    <t>8.Marks and Numbers of PKGS</t>
    <phoneticPr fontId="6" type="noConversion"/>
  </si>
  <si>
    <t xml:space="preserve">17.Address : </t>
    <phoneticPr fontId="6" type="noConversion"/>
  </si>
  <si>
    <t xml:space="preserve">   (tel) : 82-53-589-0133</t>
    <phoneticPr fontId="6" type="noConversion"/>
  </si>
  <si>
    <t xml:space="preserve">   (fax) : 82-53-582-1786</t>
    <phoneticPr fontId="6" type="noConversion"/>
  </si>
  <si>
    <t>COMMERCIAL INVOICE</t>
    <phoneticPr fontId="6" type="noConversion"/>
  </si>
  <si>
    <t>11.Unit</t>
    <phoneticPr fontId="6" type="noConversion"/>
  </si>
  <si>
    <t xml:space="preserve">   Price</t>
    <phoneticPr fontId="6" type="noConversion"/>
  </si>
  <si>
    <t>12.Extended Price</t>
    <phoneticPr fontId="6" type="noConversion"/>
  </si>
  <si>
    <t>(USD)</t>
    <phoneticPr fontId="6" type="noConversion"/>
  </si>
  <si>
    <t>13.P.O.#</t>
    <phoneticPr fontId="6" type="noConversion"/>
  </si>
  <si>
    <t>14.RAN#</t>
    <phoneticPr fontId="6" type="noConversion"/>
  </si>
  <si>
    <t xml:space="preserve">15.Address : </t>
    <phoneticPr fontId="6" type="noConversion"/>
  </si>
  <si>
    <t>15.P.O.#</t>
    <phoneticPr fontId="6" type="noConversion"/>
  </si>
  <si>
    <t>pcs/skid</t>
    <phoneticPr fontId="6" type="noConversion"/>
  </si>
  <si>
    <t>Skid Qty</t>
    <phoneticPr fontId="6" type="noConversion"/>
  </si>
  <si>
    <t>CBM</t>
    <phoneticPr fontId="6" type="noConversion"/>
  </si>
  <si>
    <t>14900186K</t>
    <phoneticPr fontId="6" type="noConversion"/>
  </si>
  <si>
    <t>TOTAL</t>
    <phoneticPr fontId="6" type="noConversion"/>
  </si>
  <si>
    <t>=MASTER!B2</t>
    <phoneticPr fontId="6" type="noConversion"/>
  </si>
  <si>
    <t>E1590001025</t>
    <phoneticPr fontId="6" type="noConversion"/>
  </si>
  <si>
    <t>C1490001238</t>
    <phoneticPr fontId="6" type="noConversion"/>
  </si>
  <si>
    <t xml:space="preserve">   (tel) : 82-53-589-0168</t>
    <phoneticPr fontId="6" type="noConversion"/>
  </si>
  <si>
    <t xml:space="preserve"> </t>
    <phoneticPr fontId="6" type="noConversion"/>
  </si>
  <si>
    <t>E1490001235</t>
    <phoneticPr fontId="6" type="noConversion"/>
  </si>
  <si>
    <t>E1490001261</t>
    <phoneticPr fontId="6" type="noConversion"/>
  </si>
  <si>
    <t>E1490001262</t>
    <phoneticPr fontId="6" type="noConversion"/>
  </si>
  <si>
    <t>E1490001229</t>
  </si>
  <si>
    <t>E1490001272</t>
  </si>
  <si>
    <t>E1490001272</t>
    <phoneticPr fontId="6" type="noConversion"/>
  </si>
  <si>
    <t>C1490001268</t>
    <phoneticPr fontId="6" type="noConversion"/>
  </si>
  <si>
    <t>E1490001287</t>
    <phoneticPr fontId="6" type="noConversion"/>
  </si>
  <si>
    <t>E1490001256</t>
  </si>
  <si>
    <t>E1490001257</t>
  </si>
  <si>
    <t>E1490001232</t>
    <phoneticPr fontId="6" type="noConversion"/>
  </si>
  <si>
    <t>E1490001287</t>
  </si>
  <si>
    <t>E1490001293</t>
  </si>
  <si>
    <t>E1490001119</t>
    <phoneticPr fontId="6" type="noConversion"/>
  </si>
  <si>
    <t>E1490001135</t>
    <phoneticPr fontId="6" type="noConversion"/>
  </si>
  <si>
    <t>E1490001136</t>
    <phoneticPr fontId="6" type="noConversion"/>
  </si>
  <si>
    <t>E1490001141</t>
    <phoneticPr fontId="6" type="noConversion"/>
  </si>
  <si>
    <t>E1490001134</t>
    <phoneticPr fontId="6" type="noConversion"/>
  </si>
  <si>
    <t>E1490001132</t>
    <phoneticPr fontId="6" type="noConversion"/>
  </si>
  <si>
    <t>E1490001121</t>
    <phoneticPr fontId="6" type="noConversion"/>
  </si>
  <si>
    <t>E1490001144</t>
    <phoneticPr fontId="6" type="noConversion"/>
  </si>
  <si>
    <t>E1490001125</t>
    <phoneticPr fontId="6" type="noConversion"/>
  </si>
  <si>
    <t>E1490001142</t>
    <phoneticPr fontId="6" type="noConversion"/>
  </si>
  <si>
    <t>E1490001199</t>
    <phoneticPr fontId="6" type="noConversion"/>
  </si>
  <si>
    <t>E1490001149</t>
    <phoneticPr fontId="6" type="noConversion"/>
  </si>
  <si>
    <t>E1490001111</t>
    <phoneticPr fontId="6" type="noConversion"/>
  </si>
  <si>
    <t>E1490001121</t>
  </si>
  <si>
    <t>[별지 제6호의9서식]</t>
  </si>
  <si>
    <t>미국과의 협정에 따른 원산지증명서 권고서식</t>
  </si>
  <si>
    <t>Certificate of Origin</t>
  </si>
  <si>
    <t>Korea-US Free Trade Agreement</t>
  </si>
  <si>
    <t>Name (성명)</t>
  </si>
  <si>
    <t>2. Blanket Period</t>
  </si>
  <si>
    <t>Fax (팩스)</t>
  </si>
  <si>
    <t>Address(주소)</t>
  </si>
  <si>
    <t>Telephone (전화)</t>
  </si>
  <si>
    <t>E-mail (전자주소)</t>
  </si>
  <si>
    <t>5.원산지증명대상물품내역</t>
  </si>
  <si>
    <t>Serial No.</t>
  </si>
  <si>
    <t>Description of Good(s)</t>
  </si>
  <si>
    <t>Quantity &amp; Unit</t>
  </si>
  <si>
    <t>HS No.</t>
  </si>
  <si>
    <t>Preference Criterion</t>
  </si>
  <si>
    <t>Country of Origin</t>
  </si>
  <si>
    <t>(연번)</t>
  </si>
  <si>
    <t>(수량 및 단위)</t>
  </si>
  <si>
    <t>(품목번호 HS 6단위)</t>
  </si>
  <si>
    <t>(원산지결정기준)</t>
  </si>
  <si>
    <t>(원산지 국가)</t>
  </si>
  <si>
    <t>6. Observations:</t>
  </si>
  <si>
    <t>I certify that:</t>
  </si>
  <si>
    <t>본인은 다음 사항을 확인합니다.</t>
  </si>
  <si>
    <t xml:space="preserve">- The information in this document is true and accurate and I assume the responsibility for proving such representations. </t>
  </si>
  <si>
    <t>I understand that I am liable for any false statements or material omissions made on or in connection with this document.</t>
  </si>
  <si>
    <t>상기 서식에 기재된 내용은 사실이고 정확하며, 기재된 사항에 대한 책임은 본인에게 있습니다. 이 증명서 또는 이와 관련한 허위 진술 또는 중대한 사실 누락에 대해서는 본인에게 책임이 있음을 확인합니다.</t>
  </si>
  <si>
    <t>- I agree to maintain, and present upon request, documentation necessary to support this Certificate, and to inform, in writing, all persons to whom the Certificate was given of any changes that would affect the accuracy or validity of this Certificate.</t>
  </si>
  <si>
    <t xml:space="preserve">본인은 이 증명서를 입증하는데 필요한 문서를 보관하며, 요청이 있을 경우 이를 제출할 뿐 아니라, 이 증명서의 정확성이나 유효기간에 영향을 미치는 여타 변동사항에 대해서 이 증명서를 받은 관계자들에게 서면으로 통보할 것에 동의합니다. </t>
  </si>
  <si>
    <t>- The goods originate in the territory of one or both Parties and comply with the origin requirements specified for those goods in the Korea -United State of America Free Trade Agreement.</t>
  </si>
  <si>
    <t>해당 물품은 대한민국과 미합중국간의 자유무역협정에 따른 원산지결정기준을 충족하고 있음을 확인합니다.</t>
  </si>
  <si>
    <t>This Certificate consists of ______ pages, including all attachments.</t>
  </si>
  <si>
    <t>이 증명서는 첨부서류를 포함하여 총___장으로 구성되어 있습니다.</t>
  </si>
  <si>
    <t>7. Authorized Signature</t>
  </si>
  <si>
    <t>1.Exporter
(수출자)</t>
    <phoneticPr fontId="45" type="noConversion"/>
  </si>
  <si>
    <t>Kyung Chang Precision</t>
    <phoneticPr fontId="45" type="noConversion"/>
  </si>
  <si>
    <t xml:space="preserve">  (원산지포괄증명기간)</t>
    <phoneticPr fontId="45" type="noConversion"/>
  </si>
  <si>
    <t>Address(주소)</t>
    <phoneticPr fontId="45" type="noConversion"/>
  </si>
  <si>
    <t>306-56, Jang-Dong, Dalseo-Gu, Daegu, Korea(704-190)</t>
    <phoneticPr fontId="45" type="noConversion"/>
  </si>
  <si>
    <t>Telephone (전화)</t>
    <phoneticPr fontId="45" type="noConversion"/>
  </si>
  <si>
    <t>82 53 721 1844</t>
    <phoneticPr fontId="45" type="noConversion"/>
  </si>
  <si>
    <t xml:space="preserve">      (년)      (월)    (일)        (년)      (월)   (일)</t>
    <phoneticPr fontId="45" type="noConversion"/>
  </si>
  <si>
    <t>82 53 718 2494</t>
    <phoneticPr fontId="45" type="noConversion"/>
  </si>
  <si>
    <t>E-mail (전자주소)</t>
    <phoneticPr fontId="45" type="noConversion"/>
  </si>
  <si>
    <t>sylee@kc.co.kr</t>
    <phoneticPr fontId="45" type="noConversion"/>
  </si>
  <si>
    <t>(부터)                        (까지)</t>
    <phoneticPr fontId="45" type="noConversion"/>
  </si>
  <si>
    <t>3.Producer
(생산자)</t>
    <phoneticPr fontId="45" type="noConversion"/>
  </si>
  <si>
    <t xml:space="preserve">4.Importer
(수입자) </t>
    <phoneticPr fontId="45" type="noConversion"/>
  </si>
  <si>
    <t>jadcock@borgwarner.com</t>
    <phoneticPr fontId="45" type="noConversion"/>
  </si>
  <si>
    <r>
      <t>(품명</t>
    </r>
    <r>
      <rPr>
        <sz val="10"/>
        <color indexed="8"/>
        <rFont val="한양중고딕"/>
        <family val="3"/>
        <charset val="129"/>
      </rPr>
      <t>ㆍ</t>
    </r>
    <r>
      <rPr>
        <sz val="9"/>
        <color indexed="8"/>
        <rFont val="한양중고딕"/>
        <family val="3"/>
        <charset val="129"/>
      </rPr>
      <t>규격)</t>
    </r>
  </si>
  <si>
    <t>Bracket Air Pump</t>
    <phoneticPr fontId="45" type="noConversion"/>
  </si>
  <si>
    <t>CTSH</t>
    <phoneticPr fontId="45" type="noConversion"/>
  </si>
  <si>
    <t>KR</t>
    <phoneticPr fontId="45" type="noConversion"/>
  </si>
  <si>
    <t xml:space="preserve">   (특이사항)</t>
    <phoneticPr fontId="45" type="noConversion"/>
  </si>
  <si>
    <t xml:space="preserve"> Company</t>
    <phoneticPr fontId="45" type="noConversion"/>
  </si>
  <si>
    <t xml:space="preserve">  (서명권자의 서명)</t>
    <phoneticPr fontId="45" type="noConversion"/>
  </si>
  <si>
    <t xml:space="preserve"> (회사명) Kyung Chang Precision</t>
    <phoneticPr fontId="45" type="noConversion"/>
  </si>
  <si>
    <t xml:space="preserve"> Name: Sung Yeub, Lee</t>
    <phoneticPr fontId="45" type="noConversion"/>
  </si>
  <si>
    <t xml:space="preserve"> Title  Sales Assistant Manager</t>
    <phoneticPr fontId="45" type="noConversion"/>
  </si>
  <si>
    <t xml:space="preserve"> (작성자 성명)</t>
    <phoneticPr fontId="45" type="noConversion"/>
  </si>
  <si>
    <t xml:space="preserve"> (직위)</t>
    <phoneticPr fontId="45" type="noConversion"/>
  </si>
  <si>
    <t xml:space="preserve"> YYYY          MM     DD</t>
    <phoneticPr fontId="45" type="noConversion"/>
  </si>
  <si>
    <t xml:space="preserve"> (년)         (월)   (일)</t>
    <phoneticPr fontId="45" type="noConversion"/>
  </si>
  <si>
    <t>KYUNG CHANG IND. CO.,LTD</t>
    <phoneticPr fontId="6" type="noConversion"/>
  </si>
  <si>
    <t>7. Remarks</t>
    <phoneticPr fontId="6" type="noConversion"/>
  </si>
  <si>
    <t>2. Notify party</t>
    <phoneticPr fontId="6" type="noConversion"/>
  </si>
  <si>
    <t xml:space="preserve">   Same as Above</t>
    <phoneticPr fontId="6" type="noConversion"/>
  </si>
  <si>
    <t>3. Port of Loading</t>
    <phoneticPr fontId="6" type="noConversion"/>
  </si>
  <si>
    <t>4. Final Destination</t>
    <phoneticPr fontId="6" type="noConversion"/>
  </si>
  <si>
    <t>5. Carrier</t>
    <phoneticPr fontId="6" type="noConversion"/>
  </si>
  <si>
    <t>6. Sailing Date</t>
    <phoneticPr fontId="6" type="noConversion"/>
  </si>
  <si>
    <t>E1490001149</t>
  </si>
  <si>
    <t>C1490001268</t>
  </si>
  <si>
    <t>E1490001261</t>
  </si>
  <si>
    <t xml:space="preserve"> Telephone :82 53 721 1844    Fax: 82 53 718 2494
 (전화번호)                   (팩스번호)</t>
    <phoneticPr fontId="45" type="noConversion"/>
  </si>
  <si>
    <t>E1490001266</t>
  </si>
  <si>
    <t>E1490001266</t>
    <phoneticPr fontId="6" type="noConversion"/>
  </si>
  <si>
    <t>E1490001294</t>
    <phoneticPr fontId="6" type="noConversion"/>
  </si>
  <si>
    <t>E1490001294</t>
  </si>
  <si>
    <t>E1490001135</t>
  </si>
  <si>
    <t>E1490001136</t>
  </si>
  <si>
    <t>E1490001229</t>
    <phoneticPr fontId="6" type="noConversion"/>
  </si>
  <si>
    <t>E1490001262</t>
  </si>
  <si>
    <t>E1490001134</t>
  </si>
  <si>
    <t>인계자</t>
    <phoneticPr fontId="6" type="noConversion"/>
  </si>
  <si>
    <t>인수자</t>
    <phoneticPr fontId="6" type="noConversion"/>
  </si>
  <si>
    <t>차량번호</t>
    <phoneticPr fontId="6" type="noConversion"/>
  </si>
  <si>
    <t>Invoice #</t>
    <phoneticPr fontId="6" type="noConversion"/>
  </si>
  <si>
    <t xml:space="preserve"> KCDN12-24</t>
    <phoneticPr fontId="6" type="noConversion"/>
  </si>
  <si>
    <t>Invoice N0.</t>
    <phoneticPr fontId="55" type="noConversion"/>
  </si>
  <si>
    <t>차량번호</t>
    <phoneticPr fontId="55" type="noConversion"/>
  </si>
  <si>
    <t>C1490001275</t>
  </si>
  <si>
    <t>E1490001283</t>
  </si>
  <si>
    <t>출고 시간</t>
    <phoneticPr fontId="6" type="noConversion"/>
  </si>
  <si>
    <t>출고 일자</t>
    <phoneticPr fontId="55" type="noConversion"/>
  </si>
  <si>
    <t>E1490001279</t>
    <phoneticPr fontId="6" type="noConversion"/>
  </si>
  <si>
    <t>E1490001119</t>
  </si>
  <si>
    <t>E1490001141</t>
  </si>
  <si>
    <t>E1490001132</t>
  </si>
  <si>
    <t>E1490001144</t>
  </si>
  <si>
    <t>E1490001125</t>
  </si>
  <si>
    <t>E1490001111</t>
  </si>
  <si>
    <t>E1490001142</t>
  </si>
  <si>
    <t>E1490001199</t>
  </si>
  <si>
    <t>14900295A</t>
  </si>
  <si>
    <t>E1590001025</t>
  </si>
  <si>
    <t>C1490001238</t>
  </si>
  <si>
    <t>E1490001232</t>
  </si>
  <si>
    <t>E1490001153</t>
  </si>
  <si>
    <t>E1490001279</t>
  </si>
  <si>
    <t>Heat shield</t>
    <phoneticPr fontId="45" type="noConversion"/>
  </si>
  <si>
    <t>From: __ __ __ __/__ __ /__ __ To: __ __ __ __/__ __ /__ __</t>
    <phoneticPr fontId="45" type="noConversion"/>
  </si>
  <si>
    <t>E1490001153</t>
    <phoneticPr fontId="6" type="noConversion"/>
  </si>
  <si>
    <t>No</t>
    <phoneticPr fontId="6" type="noConversion"/>
  </si>
  <si>
    <t>Part #</t>
    <phoneticPr fontId="6" type="noConversion"/>
  </si>
  <si>
    <r>
      <t>총</t>
    </r>
    <r>
      <rPr>
        <b/>
        <sz val="11"/>
        <rFont val="Courier New"/>
        <family val="3"/>
      </rPr>
      <t xml:space="preserve"> </t>
    </r>
    <r>
      <rPr>
        <b/>
        <sz val="11"/>
        <rFont val="돋움"/>
        <family val="3"/>
        <charset val="129"/>
      </rPr>
      <t>수량</t>
    </r>
    <phoneticPr fontId="6" type="noConversion"/>
  </si>
  <si>
    <t>PLT #</t>
    <phoneticPr fontId="6" type="noConversion"/>
  </si>
  <si>
    <t>출고일#1</t>
    <phoneticPr fontId="6" type="noConversion"/>
  </si>
  <si>
    <t>출고일#2</t>
  </si>
  <si>
    <t>출고일#3</t>
  </si>
  <si>
    <t>출고일</t>
    <phoneticPr fontId="6" type="noConversion"/>
  </si>
  <si>
    <t>확 인</t>
    <phoneticPr fontId="55" type="noConversion"/>
  </si>
  <si>
    <t>확인</t>
    <phoneticPr fontId="6" type="noConversion"/>
  </si>
  <si>
    <t>확인</t>
    <phoneticPr fontId="6" type="noConversion"/>
  </si>
  <si>
    <t>최종확인</t>
    <phoneticPr fontId="6" type="noConversion"/>
  </si>
  <si>
    <t>NEW AUTOMOTIVE PARTS-AIR PUMP BRACKET</t>
    <phoneticPr fontId="6" type="noConversion"/>
  </si>
  <si>
    <t>E1490001141</t>
    <phoneticPr fontId="6" type="noConversion"/>
  </si>
  <si>
    <t>E1490001146</t>
    <phoneticPr fontId="6" type="noConversion"/>
  </si>
  <si>
    <t>E1490005081</t>
    <phoneticPr fontId="6" type="noConversion"/>
  </si>
  <si>
    <t>E1490005081</t>
    <phoneticPr fontId="45" type="noConversion"/>
  </si>
  <si>
    <r>
      <t>인</t>
    </r>
    <r>
      <rPr>
        <b/>
        <sz val="14"/>
        <rFont val="Courier New"/>
        <family val="3"/>
      </rPr>
      <t xml:space="preserve"> </t>
    </r>
    <r>
      <rPr>
        <b/>
        <sz val="14"/>
        <rFont val="돋움"/>
        <family val="3"/>
        <charset val="129"/>
      </rPr>
      <t>계</t>
    </r>
    <r>
      <rPr>
        <b/>
        <sz val="14"/>
        <rFont val="Courier New"/>
        <family val="3"/>
      </rPr>
      <t xml:space="preserve"> </t>
    </r>
    <r>
      <rPr>
        <b/>
        <sz val="14"/>
        <rFont val="돋움"/>
        <family val="3"/>
        <charset val="129"/>
      </rPr>
      <t>자</t>
    </r>
    <phoneticPr fontId="55" type="noConversion"/>
  </si>
  <si>
    <r>
      <t xml:space="preserve"> </t>
    </r>
    <r>
      <rPr>
        <b/>
        <sz val="14"/>
        <rFont val="돋움"/>
        <family val="3"/>
        <charset val="129"/>
      </rPr>
      <t>경</t>
    </r>
    <r>
      <rPr>
        <b/>
        <sz val="14"/>
        <rFont val="Courier New"/>
        <family val="3"/>
      </rPr>
      <t xml:space="preserve"> </t>
    </r>
    <r>
      <rPr>
        <b/>
        <sz val="14"/>
        <rFont val="돋움"/>
        <family val="3"/>
        <charset val="129"/>
      </rPr>
      <t>창</t>
    </r>
    <r>
      <rPr>
        <b/>
        <sz val="14"/>
        <rFont val="Courier New"/>
        <family val="3"/>
      </rPr>
      <t xml:space="preserve"> </t>
    </r>
    <r>
      <rPr>
        <b/>
        <sz val="14"/>
        <rFont val="돋움"/>
        <family val="3"/>
        <charset val="129"/>
      </rPr>
      <t>정</t>
    </r>
    <r>
      <rPr>
        <b/>
        <sz val="14"/>
        <rFont val="Courier New"/>
        <family val="3"/>
      </rPr>
      <t xml:space="preserve"> </t>
    </r>
    <r>
      <rPr>
        <b/>
        <sz val="14"/>
        <rFont val="돋움"/>
        <family val="3"/>
        <charset val="129"/>
      </rPr>
      <t>공</t>
    </r>
    <phoneticPr fontId="55" type="noConversion"/>
  </si>
  <si>
    <r>
      <t>수출</t>
    </r>
    <r>
      <rPr>
        <b/>
        <sz val="24"/>
        <rFont val="Courier New"/>
        <family val="3"/>
      </rPr>
      <t xml:space="preserve"> </t>
    </r>
    <r>
      <rPr>
        <b/>
        <sz val="24"/>
        <rFont val="돋움"/>
        <family val="3"/>
        <charset val="129"/>
      </rPr>
      <t>출고</t>
    </r>
    <r>
      <rPr>
        <b/>
        <sz val="24"/>
        <rFont val="Courier New"/>
        <family val="3"/>
      </rPr>
      <t xml:space="preserve"> </t>
    </r>
    <r>
      <rPr>
        <b/>
        <sz val="24"/>
        <rFont val="돋움"/>
        <family val="3"/>
        <charset val="129"/>
      </rPr>
      <t>확인증</t>
    </r>
    <phoneticPr fontId="55" type="noConversion"/>
  </si>
  <si>
    <t>E1490001111</t>
    <phoneticPr fontId="6" type="noConversion"/>
  </si>
  <si>
    <t>E1490001146</t>
    <phoneticPr fontId="45" type="noConversion"/>
  </si>
  <si>
    <t>Various</t>
    <phoneticPr fontId="45" type="noConversion"/>
  </si>
  <si>
    <t>E1490001266</t>
    <phoneticPr fontId="6" type="noConversion"/>
  </si>
  <si>
    <t>C1490001283</t>
    <phoneticPr fontId="6" type="noConversion"/>
  </si>
  <si>
    <t>E1490001275</t>
    <phoneticPr fontId="6" type="noConversion"/>
  </si>
  <si>
    <t>Terms of delivery and payment</t>
  </si>
  <si>
    <t>C1490001283</t>
    <phoneticPr fontId="6" type="noConversion"/>
  </si>
  <si>
    <t>E1490010273</t>
    <phoneticPr fontId="6" type="noConversion"/>
  </si>
  <si>
    <t xml:space="preserve">                                                                                                       </t>
    <phoneticPr fontId="6" type="noConversion"/>
  </si>
  <si>
    <t>C1490018833A0</t>
    <phoneticPr fontId="6" type="noConversion"/>
  </si>
  <si>
    <t xml:space="preserve">      2015      01      01         2015       12     31 </t>
    <phoneticPr fontId="45" type="noConversion"/>
  </si>
  <si>
    <t xml:space="preserve">  2014/10/7/ </t>
    <phoneticPr fontId="45" type="noConversion"/>
  </si>
  <si>
    <t>C1490018833A0</t>
    <phoneticPr fontId="45" type="noConversion"/>
  </si>
  <si>
    <t>E3870015347A0</t>
    <phoneticPr fontId="6" type="noConversion"/>
  </si>
  <si>
    <t>KYUNG CHANG PRECISION. CO.,LTD</t>
    <phoneticPr fontId="6" type="noConversion"/>
  </si>
  <si>
    <t xml:space="preserve">  SA# : 2550000334</t>
    <phoneticPr fontId="55" type="noConversion"/>
  </si>
  <si>
    <t xml:space="preserve">  Tax ID : 503-81-32693</t>
    <phoneticPr fontId="55" type="noConversion"/>
  </si>
  <si>
    <t xml:space="preserve">BUSAN, KOREA </t>
    <phoneticPr fontId="6" type="noConversion"/>
  </si>
  <si>
    <t>BUSAN, KOREA</t>
    <phoneticPr fontId="6" type="noConversion"/>
  </si>
  <si>
    <t>FOB</t>
    <phoneticPr fontId="6" type="noConversion"/>
  </si>
  <si>
    <t xml:space="preserve">   149 Gukgasandan-daero 33-gil, Guji-myeon, </t>
    <phoneticPr fontId="6" type="noConversion"/>
  </si>
  <si>
    <t xml:space="preserve">   149 Gukgasandan-daero 33-gil, Guji-myeon, </t>
    <phoneticPr fontId="6" type="noConversion"/>
  </si>
  <si>
    <t xml:space="preserve">   Dalseong-gun, Daegu</t>
    <phoneticPr fontId="6" type="noConversion"/>
  </si>
  <si>
    <t xml:space="preserve">   Dalseong-gun, Daegu</t>
    <phoneticPr fontId="6" type="noConversion"/>
  </si>
  <si>
    <t>E3870015336A0</t>
    <phoneticPr fontId="6" type="noConversion"/>
  </si>
  <si>
    <t xml:space="preserve">   Attention : Jose Luis Zamora.</t>
  </si>
  <si>
    <t>1. For Account &amp; Risk of Messers</t>
    <phoneticPr fontId="6" type="noConversion"/>
  </si>
  <si>
    <t xml:space="preserve">BORGWARNER TURBO AND EMISSIONS SYSTEMS DE </t>
    <phoneticPr fontId="6" type="noConversion"/>
  </si>
  <si>
    <t>MEXICO SA DE CV</t>
    <phoneticPr fontId="6" type="noConversion"/>
  </si>
  <si>
    <t>BLVD. KAPPA No. Ext. 1125</t>
    <phoneticPr fontId="6" type="noConversion"/>
  </si>
  <si>
    <t xml:space="preserve">COL. PARQUE INDUSTRIAL SANTA MARIA, </t>
    <phoneticPr fontId="6" type="noConversion"/>
  </si>
  <si>
    <t>RAMOS ARIZPE C.P.</t>
    <phoneticPr fontId="6" type="noConversion"/>
  </si>
  <si>
    <t>25903 COAHUILA DE ZARAGOZA MEXICO</t>
    <phoneticPr fontId="6" type="noConversion"/>
  </si>
  <si>
    <t>KCR26-06</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</si>
</sst>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26" formatCode="\$#,##0.00_);[Red]\(\$#,##0.00\)"/>
    <numFmt numFmtId="176" formatCode="_ * #,##0_ ;_ * \-#,##0_ ;_ * &quot;-&quot;_ ;_ @_ "/>
    <numFmt numFmtId="177" formatCode="_ * #,##0.00_ ;_ * \-#,##0.00_ ;_ * &quot;-&quot;??_ ;_ @_ "/>
    <numFmt numFmtId="178" formatCode="_(&quot;$&quot;* #,##0_);_(&quot;$&quot;* \(#,##0\);_(&quot;$&quot;* &quot;-&quot;_);_(@_)"/>
    <numFmt numFmtId="179" formatCode="_(&quot;$&quot;* #,##0.00_);_(&quot;$&quot;* \(#,##0.00\);_(&quot;$&quot;* &quot;-&quot;??_);_(@_)"/>
    <numFmt numFmtId="180" formatCode="#,##0;[Red]&quot;-&quot;#,##0"/>
    <numFmt numFmtId="181" formatCode="#,##0.00;[Red]&quot;-&quot;#,##0.00"/>
    <numFmt numFmtId="182" formatCode="#,##0_ "/>
    <numFmt numFmtId="183" formatCode="\$#,##0.000_);[Red]\(\$#,##0.000\)"/>
    <numFmt numFmtId="184" formatCode="\$#,##0.00"/>
    <numFmt numFmtId="185" formatCode="#,##0.000_ "/>
    <numFmt numFmtId="186" formatCode="0_ "/>
    <numFmt numFmtId="187" formatCode="0.000_ "/>
    <numFmt numFmtId="188" formatCode="mm&quot;/&quot;dd&quot;/&quot;yy"/>
    <numFmt numFmtId="189" formatCode="#,##0_);[Red]\(#,##0\)"/>
    <numFmt numFmtId="190" formatCode="0.000_);[Red]\(0.000\)"/>
    <numFmt numFmtId="191" formatCode="0_);[Red]\(0\)"/>
    <numFmt numFmtId="192" formatCode="#,##0.00_);[Red]\(#,##0.00\)"/>
    <numFmt numFmtId="193" formatCode="\$#,##0.000"/>
    <numFmt numFmtId="194" formatCode="mmmm\ dd\,\ yyyy"/>
    <numFmt numFmtId="195" formatCode="mm&quot;월&quot;\ dd&quot;일&quot;"/>
    <numFmt numFmtId="196" formatCode="\$#,##0.0000_);[Red]\(\$#,##0.0000\)"/>
    <numFmt numFmtId="197" formatCode="[$-409]d&quot;-&quot;mmm&quot;-&quot;yy;@"/>
  </numFmts>
  <fonts count="68">
    <font>
      <sz val="11"/>
      <name val="돋움"/>
      <family val="3"/>
      <charset val="129"/>
    </font>
    <font>
      <b/>
      <sz val="11"/>
      <name val="돋움"/>
      <family val="3"/>
      <charset val="129"/>
    </font>
    <font>
      <sz val="10"/>
      <name val="Arial"/>
      <family val="2"/>
    </font>
    <font>
      <sz val="12"/>
      <name val="뼻뮝"/>
      <family val="3"/>
      <charset val="129"/>
    </font>
    <font>
      <sz val="12"/>
      <name val="바탕체"/>
      <family val="1"/>
      <charset val="129"/>
    </font>
    <font>
      <b/>
      <sz val="11"/>
      <name val="바탕체"/>
      <family val="1"/>
      <charset val="129"/>
    </font>
    <font>
      <sz val="8"/>
      <name val="돋움"/>
      <family val="3"/>
      <charset val="129"/>
    </font>
    <font>
      <sz val="11"/>
      <name val="Courier New"/>
      <family val="3"/>
    </font>
    <font>
      <b/>
      <sz val="11"/>
      <name val="Courier New"/>
      <family val="3"/>
    </font>
    <font>
      <sz val="9"/>
      <name val="Courier New"/>
      <family val="3"/>
    </font>
    <font>
      <b/>
      <sz val="10"/>
      <name val="Courier New"/>
      <family val="3"/>
    </font>
    <font>
      <b/>
      <sz val="12"/>
      <name val="Courier New"/>
      <family val="3"/>
    </font>
    <font>
      <sz val="10"/>
      <name val="Courier New"/>
      <family val="3"/>
    </font>
    <font>
      <b/>
      <sz val="9"/>
      <name val="Courier New"/>
      <family val="3"/>
    </font>
    <font>
      <b/>
      <sz val="11"/>
      <color indexed="9"/>
      <name val="Arial"/>
      <family val="2"/>
    </font>
    <font>
      <sz val="11"/>
      <name val="Arial"/>
      <family val="2"/>
    </font>
    <font>
      <sz val="10"/>
      <name val="바탕체"/>
      <family val="1"/>
      <charset val="129"/>
    </font>
    <font>
      <b/>
      <sz val="8"/>
      <name val="Courier New"/>
      <family val="3"/>
    </font>
    <font>
      <b/>
      <sz val="20"/>
      <name val="Courier New"/>
      <family val="3"/>
    </font>
    <font>
      <b/>
      <sz val="11"/>
      <color indexed="9"/>
      <name val="돋움"/>
      <family val="3"/>
      <charset val="129"/>
    </font>
    <font>
      <sz val="11"/>
      <color indexed="8"/>
      <name val="Arial"/>
      <family val="2"/>
    </font>
    <font>
      <sz val="11"/>
      <color indexed="8"/>
      <name val="돋움"/>
      <family val="3"/>
      <charset val="129"/>
    </font>
    <font>
      <sz val="10"/>
      <name val="돋움"/>
      <family val="3"/>
      <charset val="129"/>
    </font>
    <font>
      <b/>
      <sz val="10"/>
      <name val="바탕체"/>
      <family val="1"/>
      <charset val="129"/>
    </font>
    <font>
      <sz val="11"/>
      <name val="돋움"/>
      <family val="3"/>
      <charset val="129"/>
    </font>
    <font>
      <sz val="14"/>
      <name val="Arial"/>
      <family val="2"/>
    </font>
    <font>
      <b/>
      <sz val="12"/>
      <name val="Arial"/>
      <family val="2"/>
    </font>
    <font>
      <sz val="11"/>
      <color indexed="8"/>
      <name val="맑은 고딕"/>
      <family val="3"/>
      <charset val="129"/>
    </font>
    <font>
      <sz val="11"/>
      <color indexed="9"/>
      <name val="맑은 고딕"/>
      <family val="3"/>
      <charset val="129"/>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u/>
      <sz val="11"/>
      <color indexed="12"/>
      <name val="맑은 고딕"/>
      <family val="3"/>
      <charset val="129"/>
    </font>
    <font>
      <sz val="8"/>
      <name val="맑은 고딕"/>
      <family val="3"/>
      <charset val="129"/>
    </font>
    <font>
      <sz val="12"/>
      <color indexed="8"/>
      <name val="한양중고딕"/>
      <family val="3"/>
      <charset val="129"/>
    </font>
    <font>
      <b/>
      <u/>
      <sz val="12"/>
      <color indexed="8"/>
      <name val="휴먼명조"/>
      <family val="3"/>
      <charset val="129"/>
    </font>
    <font>
      <b/>
      <sz val="14"/>
      <color indexed="8"/>
      <name val="Times New Roman"/>
      <family val="1"/>
    </font>
    <font>
      <sz val="9"/>
      <color indexed="8"/>
      <name val="한양중고딕"/>
      <family val="3"/>
      <charset val="129"/>
    </font>
    <font>
      <sz val="10"/>
      <color indexed="8"/>
      <name val="바탕"/>
      <family val="1"/>
      <charset val="129"/>
    </font>
    <font>
      <b/>
      <sz val="10"/>
      <color indexed="8"/>
      <name val="한양중고딕"/>
      <family val="3"/>
      <charset val="129"/>
    </font>
    <font>
      <sz val="10"/>
      <color indexed="8"/>
      <name val="한양중고딕"/>
      <family val="3"/>
      <charset val="129"/>
    </font>
    <font>
      <sz val="8"/>
      <color indexed="8"/>
      <name val="한양중고딕"/>
      <family val="3"/>
      <charset val="129"/>
    </font>
    <font>
      <sz val="14"/>
      <color indexed="8"/>
      <name val="한양신명조"/>
      <family val="3"/>
      <charset val="129"/>
    </font>
    <font>
      <b/>
      <sz val="10.5"/>
      <name val="바탕체"/>
      <family val="1"/>
      <charset val="129"/>
    </font>
    <font>
      <b/>
      <sz val="8"/>
      <name val="돋움"/>
      <family val="3"/>
      <charset val="129"/>
    </font>
    <font>
      <sz val="9"/>
      <name val="돋움"/>
      <family val="3"/>
      <charset val="129"/>
    </font>
    <font>
      <b/>
      <sz val="14"/>
      <name val="돋움"/>
      <family val="3"/>
      <charset val="129"/>
    </font>
    <font>
      <b/>
      <sz val="14"/>
      <name val="Courier New"/>
      <family val="3"/>
    </font>
    <font>
      <b/>
      <u/>
      <sz val="9"/>
      <name val="Courier New"/>
      <family val="3"/>
    </font>
    <font>
      <b/>
      <sz val="18"/>
      <name val="Courier New"/>
      <family val="3"/>
    </font>
    <font>
      <b/>
      <sz val="24"/>
      <name val="돋움"/>
      <family val="3"/>
      <charset val="129"/>
    </font>
    <font>
      <b/>
      <sz val="24"/>
      <name val="Courier New"/>
      <family val="3"/>
    </font>
    <font>
      <b/>
      <sz val="18"/>
      <name val="돋움"/>
      <family val="3"/>
      <charset val="129"/>
    </font>
    <font>
      <sz val="18"/>
      <name val="돋움"/>
      <family val="3"/>
      <charset val="129"/>
    </font>
    <font>
      <b/>
      <sz val="6"/>
      <name val="Courier New"/>
      <family val="3"/>
    </font>
    <font>
      <b/>
      <sz val="12"/>
      <color rgb="FFFF0000"/>
      <name val="Arial"/>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43"/>
        <bgColor indexed="64"/>
      </patternFill>
    </fill>
    <fill>
      <patternFill patternType="solid">
        <fgColor indexed="8"/>
        <bgColor indexed="64"/>
      </patternFill>
    </fill>
    <fill>
      <patternFill patternType="solid">
        <fgColor indexed="42"/>
        <bgColor indexed="64"/>
      </patternFill>
    </fill>
    <fill>
      <patternFill patternType="solid">
        <fgColor indexed="47"/>
        <bgColor indexed="64"/>
      </patternFill>
    </fill>
    <fill>
      <patternFill patternType="solid">
        <fgColor indexed="22"/>
        <bgColor indexed="64"/>
      </patternFill>
    </fill>
    <fill>
      <patternFill patternType="solid">
        <fgColor rgb="FFFFFF00"/>
        <bgColor indexed="64"/>
      </patternFill>
    </fill>
  </fills>
  <borders count="132">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8"/>
      </left>
      <right style="thin">
        <color indexed="8"/>
      </right>
      <top style="thick">
        <color indexed="8"/>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ck">
        <color indexed="8"/>
      </bottom>
      <diagonal/>
    </border>
    <border>
      <left style="thick">
        <color indexed="64"/>
      </left>
      <right style="thin">
        <color indexed="8"/>
      </right>
      <top style="thick">
        <color indexed="8"/>
      </top>
      <bottom/>
      <diagonal/>
    </border>
    <border>
      <left style="thin">
        <color indexed="8"/>
      </left>
      <right style="thick">
        <color indexed="64"/>
      </right>
      <top style="thick">
        <color indexed="8"/>
      </top>
      <bottom/>
      <diagonal/>
    </border>
    <border>
      <left style="thick">
        <color indexed="64"/>
      </left>
      <right style="thin">
        <color indexed="8"/>
      </right>
      <top/>
      <bottom style="thin">
        <color indexed="8"/>
      </bottom>
      <diagonal/>
    </border>
    <border>
      <left style="thin">
        <color indexed="8"/>
      </left>
      <right style="thick">
        <color indexed="64"/>
      </right>
      <top/>
      <bottom style="thin">
        <color indexed="8"/>
      </bottom>
      <diagonal/>
    </border>
    <border>
      <left style="thick">
        <color indexed="64"/>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style="thick">
        <color indexed="64"/>
      </right>
      <top style="thin">
        <color indexed="8"/>
      </top>
      <bottom/>
      <diagonal/>
    </border>
    <border>
      <left style="thick">
        <color indexed="64"/>
      </left>
      <right style="thin">
        <color indexed="8"/>
      </right>
      <top/>
      <bottom/>
      <diagonal/>
    </border>
    <border>
      <left style="thin">
        <color indexed="8"/>
      </left>
      <right/>
      <top/>
      <bottom/>
      <diagonal/>
    </border>
    <border>
      <left/>
      <right style="thin">
        <color indexed="8"/>
      </right>
      <top/>
      <bottom/>
      <diagonal/>
    </border>
    <border>
      <left style="thin">
        <color indexed="8"/>
      </left>
      <right style="thin">
        <color indexed="8"/>
      </right>
      <top/>
      <bottom/>
      <diagonal/>
    </border>
    <border>
      <left style="thin">
        <color indexed="8"/>
      </left>
      <right style="thick">
        <color indexed="64"/>
      </right>
      <top/>
      <bottom/>
      <diagonal/>
    </border>
    <border>
      <left/>
      <right style="thin">
        <color indexed="8"/>
      </right>
      <top/>
      <bottom style="thick">
        <color indexed="8"/>
      </bottom>
      <diagonal/>
    </border>
    <border>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8"/>
      </left>
      <right style="thin">
        <color indexed="8"/>
      </right>
      <top style="thick">
        <color indexed="8"/>
      </top>
      <bottom style="thin">
        <color indexed="8"/>
      </bottom>
      <diagonal/>
    </border>
    <border>
      <left style="thin">
        <color indexed="8"/>
      </left>
      <right/>
      <top style="thick">
        <color indexed="8"/>
      </top>
      <bottom/>
      <diagonal/>
    </border>
    <border>
      <left/>
      <right/>
      <top style="thick">
        <color indexed="8"/>
      </top>
      <bottom/>
      <diagonal/>
    </border>
    <border>
      <left style="thick">
        <color indexed="8"/>
      </left>
      <right/>
      <top/>
      <bottom/>
      <diagonal/>
    </border>
    <border>
      <left/>
      <right style="thick">
        <color indexed="64"/>
      </right>
      <top/>
      <bottom/>
      <diagonal/>
    </border>
    <border>
      <left style="thick">
        <color indexed="8"/>
      </left>
      <right/>
      <top/>
      <bottom style="thick">
        <color indexed="8"/>
      </bottom>
      <diagonal/>
    </border>
    <border>
      <left/>
      <right/>
      <top/>
      <bottom style="thick">
        <color indexed="8"/>
      </bottom>
      <diagonal/>
    </border>
    <border>
      <left/>
      <right style="thick">
        <color indexed="64"/>
      </right>
      <top/>
      <bottom style="thick">
        <color indexed="8"/>
      </bottom>
      <diagonal/>
    </border>
    <border>
      <left/>
      <right style="thick">
        <color indexed="8"/>
      </right>
      <top style="thick">
        <color indexed="8"/>
      </top>
      <bottom/>
      <diagonal/>
    </border>
    <border>
      <left/>
      <right style="thick">
        <color indexed="8"/>
      </right>
      <top/>
      <bottom/>
      <diagonal/>
    </border>
    <border>
      <left style="thin">
        <color indexed="8"/>
      </left>
      <right/>
      <top style="thin">
        <color indexed="8"/>
      </top>
      <bottom style="thick">
        <color indexed="8"/>
      </bottom>
      <diagonal/>
    </border>
    <border>
      <left/>
      <right style="thin">
        <color indexed="8"/>
      </right>
      <top style="thin">
        <color indexed="8"/>
      </top>
      <bottom style="thick">
        <color indexed="8"/>
      </bottom>
      <diagonal/>
    </border>
    <border>
      <left style="thin">
        <color indexed="8"/>
      </left>
      <right/>
      <top/>
      <bottom style="thin">
        <color indexed="8"/>
      </bottom>
      <diagonal/>
    </border>
    <border>
      <left/>
      <right/>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64"/>
      </left>
      <right/>
      <top style="thick">
        <color indexed="8"/>
      </top>
      <bottom style="thick">
        <color indexed="8"/>
      </bottom>
      <diagonal/>
    </border>
    <border>
      <left/>
      <right/>
      <top style="thick">
        <color indexed="8"/>
      </top>
      <bottom style="thick">
        <color indexed="8"/>
      </bottom>
      <diagonal/>
    </border>
    <border>
      <left/>
      <right style="thick">
        <color indexed="64"/>
      </right>
      <top style="thick">
        <color indexed="8"/>
      </top>
      <bottom style="thick">
        <color indexed="8"/>
      </bottom>
      <diagonal/>
    </border>
    <border>
      <left/>
      <right style="thin">
        <color indexed="8"/>
      </right>
      <top/>
      <bottom style="thin">
        <color indexed="8"/>
      </bottom>
      <diagonal/>
    </border>
    <border>
      <left/>
      <right style="thin">
        <color indexed="8"/>
      </right>
      <top style="thick">
        <color indexed="8"/>
      </top>
      <bottom/>
      <diagonal/>
    </border>
    <border>
      <left style="thick">
        <color indexed="64"/>
      </left>
      <right/>
      <top style="thick">
        <color indexed="8"/>
      </top>
      <bottom/>
      <diagonal/>
    </border>
    <border>
      <left style="thick">
        <color indexed="64"/>
      </left>
      <right/>
      <top/>
      <bottom/>
      <diagonal/>
    </border>
    <border>
      <left style="thick">
        <color indexed="64"/>
      </left>
      <right/>
      <top/>
      <bottom style="thick">
        <color indexed="8"/>
      </bottom>
      <diagonal/>
    </border>
    <border>
      <left style="thin">
        <color indexed="8"/>
      </left>
      <right/>
      <top style="thick">
        <color indexed="8"/>
      </top>
      <bottom style="thin">
        <color indexed="8"/>
      </bottom>
      <diagonal/>
    </border>
    <border>
      <left/>
      <right style="thick">
        <color indexed="64"/>
      </right>
      <top style="thick">
        <color indexed="8"/>
      </top>
      <bottom style="thin">
        <color indexed="8"/>
      </bottom>
      <diagonal/>
    </border>
    <border>
      <left/>
      <right style="thick">
        <color indexed="64"/>
      </right>
      <top style="thin">
        <color indexed="8"/>
      </top>
      <bottom style="thin">
        <color indexed="8"/>
      </bottom>
      <diagonal/>
    </border>
    <border>
      <left/>
      <right style="thin">
        <color indexed="8"/>
      </right>
      <top style="thick">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thick">
        <color indexed="64"/>
      </bottom>
      <diagonal/>
    </border>
    <border>
      <left/>
      <right/>
      <top style="thin">
        <color indexed="8"/>
      </top>
      <bottom style="thick">
        <color indexed="64"/>
      </bottom>
      <diagonal/>
    </border>
    <border>
      <left style="thick">
        <color indexed="8"/>
      </left>
      <right style="thin">
        <color indexed="8"/>
      </right>
      <top style="thick">
        <color indexed="8"/>
      </top>
      <bottom/>
      <diagonal/>
    </border>
    <border>
      <left style="thick">
        <color indexed="8"/>
      </left>
      <right style="thin">
        <color indexed="8"/>
      </right>
      <top/>
      <bottom/>
      <diagonal/>
    </border>
    <border>
      <left style="thick">
        <color indexed="8"/>
      </left>
      <right style="thin">
        <color indexed="8"/>
      </right>
      <top/>
      <bottom style="thick">
        <color indexed="8"/>
      </bottom>
      <diagonal/>
    </border>
    <border>
      <left/>
      <right style="thick">
        <color indexed="64"/>
      </right>
      <top style="thin">
        <color indexed="8"/>
      </top>
      <bottom style="thick">
        <color indexed="8"/>
      </bottom>
      <diagonal/>
    </border>
    <border>
      <left style="medium">
        <color indexed="8"/>
      </left>
      <right/>
      <top style="thick">
        <color indexed="8"/>
      </top>
      <bottom/>
      <diagonal/>
    </border>
    <border>
      <left/>
      <right style="thick">
        <color indexed="64"/>
      </right>
      <top style="thick">
        <color indexed="8"/>
      </top>
      <bottom/>
      <diagonal/>
    </border>
    <border>
      <left/>
      <right style="medium">
        <color indexed="8"/>
      </right>
      <top style="thick">
        <color indexed="8"/>
      </top>
      <bottom/>
      <diagonal/>
    </border>
    <border>
      <left style="thick">
        <color indexed="64"/>
      </left>
      <right/>
      <top/>
      <bottom style="thick">
        <color indexed="64"/>
      </bottom>
      <diagonal/>
    </border>
    <border>
      <left/>
      <right/>
      <top/>
      <bottom style="thick">
        <color indexed="64"/>
      </bottom>
      <diagonal/>
    </border>
    <border>
      <left/>
      <right style="medium">
        <color indexed="8"/>
      </right>
      <top/>
      <bottom style="thick">
        <color indexed="64"/>
      </bottom>
      <diagonal/>
    </border>
    <border>
      <left style="medium">
        <color indexed="8"/>
      </left>
      <right/>
      <top style="medium">
        <color indexed="8"/>
      </top>
      <bottom/>
      <diagonal/>
    </border>
    <border>
      <left/>
      <right/>
      <top style="medium">
        <color indexed="8"/>
      </top>
      <bottom/>
      <diagonal/>
    </border>
    <border>
      <left/>
      <right style="thick">
        <color indexed="64"/>
      </right>
      <top style="medium">
        <color indexed="8"/>
      </top>
      <bottom/>
      <diagonal/>
    </border>
    <border>
      <left style="medium">
        <color indexed="8"/>
      </left>
      <right/>
      <top/>
      <bottom/>
      <diagonal/>
    </border>
    <border>
      <left style="medium">
        <color indexed="8"/>
      </left>
      <right/>
      <top/>
      <bottom style="thick">
        <color indexed="64"/>
      </bottom>
      <diagonal/>
    </border>
    <border>
      <left/>
      <right style="thick">
        <color indexed="64"/>
      </right>
      <top/>
      <bottom style="thick">
        <color indexed="64"/>
      </bottom>
      <diagonal/>
    </border>
    <border>
      <left style="thick">
        <color indexed="64"/>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bottom style="medium">
        <color indexed="8"/>
      </bottom>
      <diagonal/>
    </border>
    <border>
      <left/>
      <right style="thick">
        <color indexed="64"/>
      </right>
      <top/>
      <bottom style="medium">
        <color indexed="8"/>
      </bottom>
      <diagonal/>
    </border>
    <border>
      <left style="thick">
        <color indexed="64"/>
      </left>
      <right/>
      <top style="medium">
        <color indexed="8"/>
      </top>
      <bottom/>
      <diagonal/>
    </border>
    <border>
      <left/>
      <right style="medium">
        <color indexed="8"/>
      </right>
      <top style="medium">
        <color indexed="8"/>
      </top>
      <bottom/>
      <diagonal/>
    </border>
    <border>
      <left/>
      <right style="medium">
        <color indexed="8"/>
      </right>
      <top/>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8"/>
      </left>
      <right/>
      <top style="thick">
        <color indexed="8"/>
      </top>
      <bottom/>
      <diagonal/>
    </border>
    <border>
      <left style="thin">
        <color indexed="8"/>
      </left>
      <right style="thin">
        <color indexed="8"/>
      </right>
      <top/>
      <bottom style="thick">
        <color indexed="8"/>
      </bottom>
      <diagonal/>
    </border>
    <border>
      <left/>
      <right style="thick">
        <color indexed="8"/>
      </right>
      <top/>
      <bottom style="thin">
        <color indexed="8"/>
      </bottom>
      <diagonal/>
    </border>
    <border>
      <left/>
      <right style="thick">
        <color indexed="8"/>
      </right>
      <top style="thin">
        <color indexed="8"/>
      </top>
      <bottom/>
      <diagonal/>
    </border>
    <border>
      <left style="thin">
        <color indexed="8"/>
      </left>
      <right/>
      <top/>
      <bottom style="thick">
        <color indexed="64"/>
      </bottom>
      <diagonal/>
    </border>
    <border>
      <left/>
      <right style="thick">
        <color indexed="8"/>
      </right>
      <top/>
      <bottom style="thick">
        <color indexed="64"/>
      </bottom>
      <diagonal/>
    </border>
  </borders>
  <cellStyleXfs count="52">
    <xf numFmtId="0" fontId="0" fillId="0" borderId="0"/>
    <xf numFmtId="0" fontId="27" fillId="2" borderId="0" applyNumberFormat="0" applyBorder="0" applyAlignment="0" applyProtection="0">
      <alignment vertical="center"/>
    </xf>
    <xf numFmtId="0" fontId="27" fillId="3" borderId="0" applyNumberFormat="0" applyBorder="0" applyAlignment="0" applyProtection="0">
      <alignment vertical="center"/>
    </xf>
    <xf numFmtId="0" fontId="27" fillId="4" borderId="0" applyNumberFormat="0" applyBorder="0" applyAlignment="0" applyProtection="0">
      <alignment vertical="center"/>
    </xf>
    <xf numFmtId="0" fontId="27" fillId="5" borderId="0" applyNumberFormat="0" applyBorder="0" applyAlignment="0" applyProtection="0">
      <alignment vertical="center"/>
    </xf>
    <xf numFmtId="0" fontId="27" fillId="6" borderId="0" applyNumberFormat="0" applyBorder="0" applyAlignment="0" applyProtection="0">
      <alignment vertical="center"/>
    </xf>
    <xf numFmtId="0" fontId="27" fillId="7" borderId="0" applyNumberFormat="0" applyBorder="0" applyAlignment="0" applyProtection="0">
      <alignment vertical="center"/>
    </xf>
    <xf numFmtId="0" fontId="27" fillId="8" borderId="0" applyNumberFormat="0" applyBorder="0" applyAlignment="0" applyProtection="0">
      <alignment vertical="center"/>
    </xf>
    <xf numFmtId="0" fontId="27" fillId="9" borderId="0" applyNumberFormat="0" applyBorder="0" applyAlignment="0" applyProtection="0">
      <alignment vertical="center"/>
    </xf>
    <xf numFmtId="0" fontId="27" fillId="10" borderId="0" applyNumberFormat="0" applyBorder="0" applyAlignment="0" applyProtection="0">
      <alignment vertical="center"/>
    </xf>
    <xf numFmtId="0" fontId="27" fillId="5" borderId="0" applyNumberFormat="0" applyBorder="0" applyAlignment="0" applyProtection="0">
      <alignment vertical="center"/>
    </xf>
    <xf numFmtId="0" fontId="27" fillId="8"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9" borderId="0" applyNumberFormat="0" applyBorder="0" applyAlignment="0" applyProtection="0">
      <alignment vertical="center"/>
    </xf>
    <xf numFmtId="0" fontId="28" fillId="10"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176" fontId="2" fillId="0" borderId="0" applyFont="0" applyFill="0" applyBorder="0" applyAlignment="0" applyProtection="0"/>
    <xf numFmtId="177" fontId="2" fillId="0" borderId="0" applyFont="0" applyFill="0" applyBorder="0" applyAlignment="0" applyProtection="0"/>
    <xf numFmtId="178" fontId="2" fillId="0" borderId="0" applyFont="0" applyFill="0" applyBorder="0" applyAlignment="0" applyProtection="0"/>
    <xf numFmtId="179" fontId="2" fillId="0" borderId="0" applyFont="0" applyFill="0" applyBorder="0" applyAlignment="0" applyProtection="0"/>
    <xf numFmtId="0" fontId="2" fillId="0" borderId="0"/>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8" fillId="19" borderId="0" applyNumberFormat="0" applyBorder="0" applyAlignment="0" applyProtection="0">
      <alignment vertical="center"/>
    </xf>
    <xf numFmtId="0" fontId="29" fillId="0" borderId="0" applyNumberFormat="0" applyFill="0" applyBorder="0" applyAlignment="0" applyProtection="0">
      <alignment vertical="center"/>
    </xf>
    <xf numFmtId="0" fontId="30" fillId="20" borderId="1" applyNumberFormat="0" applyAlignment="0" applyProtection="0">
      <alignment vertical="center"/>
    </xf>
    <xf numFmtId="0" fontId="31" fillId="3" borderId="0" applyNumberFormat="0" applyBorder="0" applyAlignment="0" applyProtection="0">
      <alignment vertical="center"/>
    </xf>
    <xf numFmtId="0" fontId="27" fillId="21" borderId="2" applyNumberFormat="0" applyFont="0" applyAlignment="0" applyProtection="0">
      <alignment vertical="center"/>
    </xf>
    <xf numFmtId="0" fontId="32" fillId="22" borderId="0" applyNumberFormat="0" applyBorder="0" applyAlignment="0" applyProtection="0">
      <alignment vertical="center"/>
    </xf>
    <xf numFmtId="0" fontId="3" fillId="0" borderId="0"/>
    <xf numFmtId="0" fontId="33" fillId="0" borderId="0" applyNumberFormat="0" applyFill="0" applyBorder="0" applyAlignment="0" applyProtection="0">
      <alignment vertical="center"/>
    </xf>
    <xf numFmtId="0" fontId="34" fillId="23" borderId="3" applyNumberFormat="0" applyAlignment="0" applyProtection="0">
      <alignment vertical="center"/>
    </xf>
    <xf numFmtId="0" fontId="35" fillId="0" borderId="4" applyNumberFormat="0" applyFill="0" applyAlignment="0" applyProtection="0">
      <alignment vertical="center"/>
    </xf>
    <xf numFmtId="0" fontId="36" fillId="0" borderId="5" applyNumberFormat="0" applyFill="0" applyAlignment="0" applyProtection="0">
      <alignment vertical="center"/>
    </xf>
    <xf numFmtId="0" fontId="37" fillId="7" borderId="1" applyNumberFormat="0" applyAlignment="0" applyProtection="0">
      <alignment vertical="center"/>
    </xf>
    <xf numFmtId="0" fontId="38" fillId="0" borderId="0" applyNumberFormat="0" applyFill="0" applyBorder="0" applyAlignment="0" applyProtection="0">
      <alignment vertical="center"/>
    </xf>
    <xf numFmtId="0" fontId="39" fillId="0" borderId="6" applyNumberFormat="0" applyFill="0" applyAlignment="0" applyProtection="0">
      <alignment vertical="center"/>
    </xf>
    <xf numFmtId="0" fontId="40" fillId="0" borderId="7" applyNumberFormat="0" applyFill="0" applyAlignment="0" applyProtection="0">
      <alignment vertical="center"/>
    </xf>
    <xf numFmtId="0" fontId="41" fillId="0" borderId="8" applyNumberFormat="0" applyFill="0" applyAlignment="0" applyProtection="0">
      <alignment vertical="center"/>
    </xf>
    <xf numFmtId="0" fontId="41" fillId="0" borderId="0" applyNumberFormat="0" applyFill="0" applyBorder="0" applyAlignment="0" applyProtection="0">
      <alignment vertical="center"/>
    </xf>
    <xf numFmtId="0" fontId="42" fillId="4" borderId="0" applyNumberFormat="0" applyBorder="0" applyAlignment="0" applyProtection="0">
      <alignment vertical="center"/>
    </xf>
    <xf numFmtId="0" fontId="43" fillId="20" borderId="9" applyNumberFormat="0" applyAlignment="0" applyProtection="0">
      <alignment vertical="center"/>
    </xf>
    <xf numFmtId="180" fontId="4" fillId="0" borderId="0" applyFont="0" applyFill="0" applyBorder="0" applyAlignment="0" applyProtection="0"/>
    <xf numFmtId="181" fontId="4" fillId="0" borderId="0" applyFont="0" applyFill="0" applyBorder="0" applyAlignment="0" applyProtection="0"/>
    <xf numFmtId="0" fontId="27" fillId="0" borderId="0">
      <alignment vertical="center"/>
    </xf>
    <xf numFmtId="0" fontId="44" fillId="0" borderId="0" applyNumberFormat="0" applyFill="0" applyBorder="0" applyAlignment="0" applyProtection="0">
      <alignment vertical="top"/>
      <protection locked="0"/>
    </xf>
  </cellStyleXfs>
  <cellXfs count="437">
    <xf numFmtId="0" fontId="0" fillId="0" borderId="0" xfId="0"/>
    <xf numFmtId="0" fontId="0" fillId="0" borderId="0" xfId="0" applyAlignment="1">
      <alignment vertical="center"/>
    </xf>
    <xf numFmtId="0" fontId="0" fillId="0" borderId="0" xfId="0" applyAlignment="1">
      <alignment horizontal="center"/>
    </xf>
    <xf numFmtId="0" fontId="7" fillId="0" borderId="0" xfId="0" applyFont="1"/>
    <xf numFmtId="0" fontId="12" fillId="0" borderId="0" xfId="0" applyFont="1"/>
    <xf numFmtId="0" fontId="7" fillId="0" borderId="10" xfId="0" applyFont="1" applyBorder="1"/>
    <xf numFmtId="3" fontId="8" fillId="0" borderId="0" xfId="0" applyNumberFormat="1" applyFont="1" applyAlignment="1">
      <alignment horizontal="right" vertical="center"/>
    </xf>
    <xf numFmtId="0" fontId="15" fillId="0" borderId="0" xfId="0" applyFont="1" applyAlignment="1">
      <alignment horizontal="center"/>
    </xf>
    <xf numFmtId="0" fontId="15" fillId="0" borderId="0" xfId="0" applyFont="1"/>
    <xf numFmtId="49" fontId="15" fillId="0" borderId="0" xfId="0" applyNumberFormat="1" applyFont="1" applyAlignment="1">
      <alignment horizontal="left"/>
    </xf>
    <xf numFmtId="0" fontId="15" fillId="0" borderId="0" xfId="0" applyFont="1" applyAlignment="1">
      <alignment horizontal="right"/>
    </xf>
    <xf numFmtId="1" fontId="15" fillId="0" borderId="0" xfId="0" applyNumberFormat="1" applyFont="1" applyAlignment="1">
      <alignment horizontal="center"/>
    </xf>
    <xf numFmtId="188" fontId="15" fillId="0" borderId="0" xfId="0" applyNumberFormat="1" applyFont="1" applyAlignment="1">
      <alignment horizontal="center"/>
    </xf>
    <xf numFmtId="183" fontId="15" fillId="0" borderId="0" xfId="0" applyNumberFormat="1" applyFont="1" applyAlignment="1">
      <alignment horizontal="center"/>
    </xf>
    <xf numFmtId="0" fontId="10" fillId="0" borderId="0" xfId="0" applyFont="1" applyAlignment="1">
      <alignment vertical="center"/>
    </xf>
    <xf numFmtId="0" fontId="10" fillId="0" borderId="0" xfId="0" applyFont="1" applyAlignment="1">
      <alignment horizontal="left" vertical="center"/>
    </xf>
    <xf numFmtId="3" fontId="12" fillId="0" borderId="11" xfId="0" applyNumberFormat="1" applyFont="1" applyBorder="1" applyAlignment="1">
      <alignment horizontal="center" vertical="center"/>
    </xf>
    <xf numFmtId="0" fontId="16" fillId="0" borderId="11" xfId="0" applyFont="1" applyBorder="1" applyAlignment="1">
      <alignment horizontal="center" vertical="center"/>
    </xf>
    <xf numFmtId="26" fontId="12" fillId="0" borderId="11" xfId="0" applyNumberFormat="1" applyFont="1" applyBorder="1" applyAlignment="1">
      <alignment horizontal="center" vertical="center"/>
    </xf>
    <xf numFmtId="0" fontId="15" fillId="0" borderId="0" xfId="0" applyFont="1" applyAlignment="1">
      <alignment horizontal="center" vertical="center"/>
    </xf>
    <xf numFmtId="182" fontId="10" fillId="0" borderId="11" xfId="0" applyNumberFormat="1" applyFont="1" applyBorder="1" applyAlignment="1">
      <alignment vertical="center"/>
    </xf>
    <xf numFmtId="182" fontId="12" fillId="0" borderId="11" xfId="0" applyNumberFormat="1" applyFont="1" applyBorder="1" applyAlignment="1">
      <alignment horizontal="center" vertical="center"/>
    </xf>
    <xf numFmtId="191" fontId="10" fillId="0" borderId="11" xfId="0" applyNumberFormat="1" applyFont="1" applyBorder="1" applyAlignment="1">
      <alignment horizontal="center" vertical="center"/>
    </xf>
    <xf numFmtId="26" fontId="5" fillId="0" borderId="0" xfId="0" applyNumberFormat="1" applyFont="1" applyAlignment="1">
      <alignment horizontal="right" vertical="center"/>
    </xf>
    <xf numFmtId="26" fontId="0" fillId="0" borderId="0" xfId="0" applyNumberFormat="1" applyAlignment="1">
      <alignment vertical="center"/>
    </xf>
    <xf numFmtId="26" fontId="0" fillId="0" borderId="0" xfId="0" applyNumberFormat="1"/>
    <xf numFmtId="49" fontId="10" fillId="24" borderId="0" xfId="0" applyNumberFormat="1" applyFont="1" applyFill="1" applyAlignment="1">
      <alignment vertical="center"/>
    </xf>
    <xf numFmtId="1" fontId="0" fillId="0" borderId="0" xfId="0" applyNumberFormat="1"/>
    <xf numFmtId="0" fontId="14" fillId="25" borderId="0" xfId="0" applyFont="1" applyFill="1" applyAlignment="1">
      <alignment horizontal="center" shrinkToFit="1"/>
    </xf>
    <xf numFmtId="49" fontId="14" fillId="25" borderId="0" xfId="0" applyNumberFormat="1" applyFont="1" applyFill="1" applyAlignment="1">
      <alignment horizontal="center" shrinkToFit="1"/>
    </xf>
    <xf numFmtId="188" fontId="14" fillId="25" borderId="0" xfId="0" applyNumberFormat="1" applyFont="1" applyFill="1" applyAlignment="1">
      <alignment horizontal="center" shrinkToFit="1"/>
    </xf>
    <xf numFmtId="183" fontId="14" fillId="25" borderId="0" xfId="0" applyNumberFormat="1" applyFont="1" applyFill="1" applyAlignment="1">
      <alignment horizontal="center" shrinkToFit="1"/>
    </xf>
    <xf numFmtId="0" fontId="15" fillId="0" borderId="0" xfId="0" applyFont="1" applyAlignment="1">
      <alignment horizontal="center" shrinkToFit="1"/>
    </xf>
    <xf numFmtId="0" fontId="0" fillId="0" borderId="0" xfId="0" applyAlignment="1">
      <alignment horizontal="right"/>
    </xf>
    <xf numFmtId="0" fontId="13" fillId="0" borderId="12" xfId="0" applyFont="1" applyBorder="1"/>
    <xf numFmtId="0" fontId="13" fillId="0" borderId="13" xfId="0" applyFont="1" applyBorder="1"/>
    <xf numFmtId="0" fontId="13" fillId="0" borderId="0" xfId="0" applyFont="1"/>
    <xf numFmtId="0" fontId="13" fillId="0" borderId="14" xfId="0" applyFont="1" applyBorder="1"/>
    <xf numFmtId="0" fontId="13" fillId="0" borderId="15" xfId="0" applyFont="1" applyBorder="1"/>
    <xf numFmtId="0" fontId="13" fillId="0" borderId="16" xfId="0" applyFont="1" applyBorder="1"/>
    <xf numFmtId="0" fontId="13" fillId="0" borderId="17" xfId="0" applyFont="1" applyBorder="1"/>
    <xf numFmtId="0" fontId="13" fillId="0" borderId="18" xfId="0" applyFont="1" applyBorder="1"/>
    <xf numFmtId="0" fontId="13" fillId="0" borderId="19" xfId="0" applyFont="1" applyBorder="1"/>
    <xf numFmtId="30" fontId="13" fillId="0" borderId="0" xfId="0" applyNumberFormat="1" applyFont="1" applyAlignment="1">
      <alignment horizontal="left" vertical="top"/>
    </xf>
    <xf numFmtId="0" fontId="13" fillId="0" borderId="0" xfId="0" applyFont="1" applyAlignment="1">
      <alignment vertical="top"/>
    </xf>
    <xf numFmtId="0" fontId="13" fillId="0" borderId="20" xfId="0" applyFont="1" applyBorder="1" applyAlignment="1">
      <alignment vertical="center"/>
    </xf>
    <xf numFmtId="0" fontId="9" fillId="0" borderId="0" xfId="0" applyFont="1" applyAlignment="1">
      <alignment horizontal="left" vertical="top"/>
    </xf>
    <xf numFmtId="0" fontId="13" fillId="0" borderId="0" xfId="0" applyFont="1" applyAlignment="1">
      <alignment horizontal="left"/>
    </xf>
    <xf numFmtId="0" fontId="13" fillId="0" borderId="18" xfId="0" applyFont="1" applyBorder="1" applyAlignment="1">
      <alignment horizontal="left"/>
    </xf>
    <xf numFmtId="0" fontId="7" fillId="0" borderId="0" xfId="0" applyFont="1" applyAlignment="1">
      <alignment horizontal="left"/>
    </xf>
    <xf numFmtId="0" fontId="11" fillId="0" borderId="21" xfId="0" applyFont="1" applyBorder="1" applyAlignment="1">
      <alignment horizontal="centerContinuous" vertical="center"/>
    </xf>
    <xf numFmtId="0" fontId="11" fillId="0" borderId="22" xfId="0" applyFont="1" applyBorder="1" applyAlignment="1">
      <alignment horizontal="centerContinuous" vertical="center"/>
    </xf>
    <xf numFmtId="0" fontId="13" fillId="0" borderId="23" xfId="0" applyFont="1" applyBorder="1" applyAlignment="1">
      <alignment vertical="center"/>
    </xf>
    <xf numFmtId="0" fontId="13" fillId="0" borderId="21" xfId="0" applyFont="1" applyBorder="1" applyAlignment="1">
      <alignment vertical="center"/>
    </xf>
    <xf numFmtId="0" fontId="13" fillId="0" borderId="21" xfId="0" applyFont="1" applyBorder="1" applyAlignment="1">
      <alignment horizontal="left" vertical="center"/>
    </xf>
    <xf numFmtId="0" fontId="13" fillId="0" borderId="0" xfId="0" applyFont="1" applyAlignment="1">
      <alignment vertical="center"/>
    </xf>
    <xf numFmtId="0" fontId="19" fillId="25" borderId="0" xfId="0" applyFont="1" applyFill="1" applyAlignment="1">
      <alignment horizontal="center" shrinkToFit="1"/>
    </xf>
    <xf numFmtId="0" fontId="20" fillId="0" borderId="13" xfId="0" applyFont="1" applyBorder="1" applyAlignment="1">
      <alignment horizontal="center"/>
    </xf>
    <xf numFmtId="0" fontId="20" fillId="0" borderId="13" xfId="0" applyFont="1" applyBorder="1" applyAlignment="1">
      <alignment horizontal="right"/>
    </xf>
    <xf numFmtId="1" fontId="20" fillId="0" borderId="13" xfId="0" applyNumberFormat="1" applyFont="1" applyBorder="1" applyAlignment="1">
      <alignment horizontal="center"/>
    </xf>
    <xf numFmtId="188" fontId="20" fillId="0" borderId="13" xfId="0" applyNumberFormat="1" applyFont="1" applyBorder="1" applyAlignment="1">
      <alignment horizontal="center"/>
    </xf>
    <xf numFmtId="0" fontId="20" fillId="0" borderId="13" xfId="0" applyFont="1" applyBorder="1"/>
    <xf numFmtId="183" fontId="20" fillId="0" borderId="13" xfId="0" applyNumberFormat="1" applyFont="1" applyBorder="1" applyAlignment="1">
      <alignment horizontal="center"/>
    </xf>
    <xf numFmtId="0" fontId="21" fillId="0" borderId="13" xfId="0" applyFont="1" applyBorder="1" applyAlignment="1">
      <alignment horizontal="center"/>
    </xf>
    <xf numFmtId="2" fontId="20" fillId="0" borderId="13" xfId="0" applyNumberFormat="1" applyFont="1" applyBorder="1" applyAlignment="1">
      <alignment horizontal="center"/>
    </xf>
    <xf numFmtId="49" fontId="15" fillId="0" borderId="18" xfId="0" applyNumberFormat="1" applyFont="1" applyBorder="1" applyAlignment="1">
      <alignment horizontal="left"/>
    </xf>
    <xf numFmtId="0" fontId="15" fillId="0" borderId="18" xfId="0" applyFont="1" applyBorder="1" applyAlignment="1">
      <alignment horizontal="right"/>
    </xf>
    <xf numFmtId="0" fontId="15" fillId="26" borderId="18" xfId="0" applyFont="1" applyFill="1" applyBorder="1" applyAlignment="1">
      <alignment horizontal="center"/>
    </xf>
    <xf numFmtId="1" fontId="15" fillId="26" borderId="18" xfId="0" applyNumberFormat="1" applyFont="1" applyFill="1" applyBorder="1" applyAlignment="1">
      <alignment horizontal="center"/>
    </xf>
    <xf numFmtId="188" fontId="15" fillId="0" borderId="18" xfId="0" applyNumberFormat="1" applyFont="1" applyBorder="1" applyAlignment="1">
      <alignment horizontal="center"/>
    </xf>
    <xf numFmtId="0" fontId="15" fillId="0" borderId="18" xfId="0" applyFont="1" applyBorder="1" applyAlignment="1">
      <alignment horizontal="center"/>
    </xf>
    <xf numFmtId="0" fontId="15" fillId="0" borderId="18" xfId="0" applyFont="1" applyBorder="1"/>
    <xf numFmtId="183" fontId="15" fillId="0" borderId="18" xfId="0" applyNumberFormat="1" applyFont="1" applyBorder="1" applyAlignment="1">
      <alignment horizontal="center"/>
    </xf>
    <xf numFmtId="0" fontId="0" fillId="0" borderId="18" xfId="0" applyBorder="1" applyAlignment="1">
      <alignment horizontal="center"/>
    </xf>
    <xf numFmtId="49" fontId="15" fillId="0" borderId="0" xfId="0" applyNumberFormat="1" applyFont="1" applyAlignment="1">
      <alignment horizontal="center"/>
    </xf>
    <xf numFmtId="0" fontId="22" fillId="0" borderId="0" xfId="0" applyFont="1"/>
    <xf numFmtId="0" fontId="10" fillId="0" borderId="0" xfId="0" applyFont="1" applyAlignment="1">
      <alignment horizontal="right" vertical="center"/>
    </xf>
    <xf numFmtId="0" fontId="22" fillId="0" borderId="0" xfId="0" applyFont="1" applyAlignment="1">
      <alignment horizontal="right"/>
    </xf>
    <xf numFmtId="26" fontId="10" fillId="0" borderId="0" xfId="0" applyNumberFormat="1" applyFont="1" applyAlignment="1">
      <alignment horizontal="right" vertical="center"/>
    </xf>
    <xf numFmtId="3" fontId="10" fillId="0" borderId="0" xfId="0" applyNumberFormat="1" applyFont="1" applyAlignment="1">
      <alignment horizontal="right" vertical="center"/>
    </xf>
    <xf numFmtId="0" fontId="12" fillId="0" borderId="0" xfId="0" applyFont="1" applyAlignment="1">
      <alignment horizontal="right"/>
    </xf>
    <xf numFmtId="0" fontId="11" fillId="0" borderId="24" xfId="0" applyFont="1" applyBorder="1" applyAlignment="1">
      <alignment horizontal="centerContinuous" vertical="center"/>
    </xf>
    <xf numFmtId="0" fontId="13" fillId="0" borderId="25" xfId="0" applyFont="1" applyBorder="1" applyAlignment="1">
      <alignment vertical="center"/>
    </xf>
    <xf numFmtId="0" fontId="13" fillId="0" borderId="20" xfId="0" applyFont="1" applyBorder="1"/>
    <xf numFmtId="0" fontId="13" fillId="0" borderId="26" xfId="0" applyFont="1" applyBorder="1"/>
    <xf numFmtId="0" fontId="13" fillId="0" borderId="27" xfId="0" applyFont="1" applyBorder="1"/>
    <xf numFmtId="0" fontId="13" fillId="0" borderId="28" xfId="0" applyFont="1" applyBorder="1"/>
    <xf numFmtId="0" fontId="13" fillId="0" borderId="29" xfId="0" applyFont="1" applyBorder="1"/>
    <xf numFmtId="0" fontId="13" fillId="0" borderId="30" xfId="0" applyFont="1" applyBorder="1"/>
    <xf numFmtId="0" fontId="13" fillId="0" borderId="10" xfId="0" applyFont="1" applyBorder="1"/>
    <xf numFmtId="0" fontId="13" fillId="0" borderId="10" xfId="0" applyFont="1" applyBorder="1" applyAlignment="1">
      <alignment horizontal="left" vertical="center"/>
    </xf>
    <xf numFmtId="0" fontId="13" fillId="0" borderId="10" xfId="0" applyFont="1" applyBorder="1" applyAlignment="1">
      <alignment vertical="center"/>
    </xf>
    <xf numFmtId="0" fontId="13" fillId="0" borderId="31" xfId="0" applyFont="1" applyBorder="1"/>
    <xf numFmtId="0" fontId="17" fillId="0" borderId="20" xfId="0" applyFont="1" applyBorder="1"/>
    <xf numFmtId="0" fontId="17" fillId="0" borderId="0" xfId="0" applyFont="1"/>
    <xf numFmtId="0" fontId="17" fillId="0" borderId="16" xfId="0" applyFont="1" applyBorder="1"/>
    <xf numFmtId="0" fontId="17" fillId="0" borderId="16" xfId="0" applyFont="1" applyBorder="1" applyAlignment="1">
      <alignment horizontal="left"/>
    </xf>
    <xf numFmtId="0" fontId="17" fillId="0" borderId="32" xfId="0" applyFont="1" applyBorder="1"/>
    <xf numFmtId="0" fontId="17" fillId="0" borderId="32" xfId="0" applyFont="1" applyBorder="1" applyAlignment="1">
      <alignment horizontal="left"/>
    </xf>
    <xf numFmtId="0" fontId="17" fillId="0" borderId="26" xfId="0" applyFont="1" applyBorder="1"/>
    <xf numFmtId="0" fontId="17" fillId="0" borderId="15" xfId="0" applyFont="1" applyBorder="1"/>
    <xf numFmtId="0" fontId="17" fillId="0" borderId="15" xfId="0" applyFont="1" applyBorder="1" applyAlignment="1">
      <alignment horizontal="left"/>
    </xf>
    <xf numFmtId="0" fontId="17" fillId="0" borderId="33" xfId="0" applyFont="1" applyBorder="1"/>
    <xf numFmtId="0" fontId="17" fillId="0" borderId="33" xfId="0" applyFont="1" applyBorder="1" applyAlignment="1">
      <alignment shrinkToFit="1"/>
    </xf>
    <xf numFmtId="0" fontId="17" fillId="0" borderId="33" xfId="0" applyFont="1" applyBorder="1" applyAlignment="1">
      <alignment horizontal="center"/>
    </xf>
    <xf numFmtId="0" fontId="17" fillId="0" borderId="12" xfId="0" applyFont="1" applyBorder="1"/>
    <xf numFmtId="0" fontId="17" fillId="0" borderId="14" xfId="0" applyFont="1" applyBorder="1"/>
    <xf numFmtId="0" fontId="10" fillId="0" borderId="0" xfId="0" applyFont="1" applyAlignment="1">
      <alignment horizontal="center" vertical="center"/>
    </xf>
    <xf numFmtId="0" fontId="23" fillId="0" borderId="0" xfId="0" applyFont="1" applyAlignment="1">
      <alignment vertical="center"/>
    </xf>
    <xf numFmtId="3" fontId="23" fillId="0" borderId="0" xfId="0" applyNumberFormat="1" applyFont="1" applyAlignment="1">
      <alignment horizontal="right" vertical="center"/>
    </xf>
    <xf numFmtId="183" fontId="23" fillId="0" borderId="0" xfId="0" applyNumberFormat="1" applyFont="1" applyAlignment="1">
      <alignment horizontal="right" vertical="center"/>
    </xf>
    <xf numFmtId="49" fontId="23" fillId="0" borderId="0" xfId="0" applyNumberFormat="1" applyFont="1" applyAlignment="1">
      <alignment vertical="center"/>
    </xf>
    <xf numFmtId="0" fontId="23" fillId="0" borderId="0" xfId="0" applyFont="1" applyAlignment="1">
      <alignment horizontal="center" vertical="center"/>
    </xf>
    <xf numFmtId="183" fontId="22" fillId="0" borderId="0" xfId="0" applyNumberFormat="1" applyFont="1"/>
    <xf numFmtId="185" fontId="15" fillId="0" borderId="0" xfId="0" applyNumberFormat="1" applyFont="1" applyAlignment="1">
      <alignment horizontal="center"/>
    </xf>
    <xf numFmtId="190" fontId="10" fillId="0" borderId="0" xfId="0" applyNumberFormat="1" applyFont="1" applyAlignment="1">
      <alignment horizontal="center" vertical="center"/>
    </xf>
    <xf numFmtId="26" fontId="10" fillId="0" borderId="0" xfId="0" applyNumberFormat="1" applyFont="1" applyAlignment="1">
      <alignment horizontal="center" vertical="center"/>
    </xf>
    <xf numFmtId="0" fontId="12" fillId="0" borderId="0" xfId="0" applyFont="1" applyAlignment="1">
      <alignment horizontal="center"/>
    </xf>
    <xf numFmtId="0" fontId="22" fillId="0" borderId="0" xfId="0" applyFont="1" applyAlignment="1">
      <alignment horizontal="center"/>
    </xf>
    <xf numFmtId="26" fontId="10" fillId="0" borderId="0" xfId="0" applyNumberFormat="1" applyFont="1" applyAlignment="1">
      <alignment horizontal="center"/>
    </xf>
    <xf numFmtId="3" fontId="10" fillId="0" borderId="0" xfId="0" applyNumberFormat="1" applyFont="1" applyAlignment="1">
      <alignment horizontal="center"/>
    </xf>
    <xf numFmtId="0" fontId="11" fillId="0" borderId="21" xfId="0" applyFont="1" applyBorder="1" applyAlignment="1">
      <alignment vertical="center"/>
    </xf>
    <xf numFmtId="49" fontId="8" fillId="0" borderId="0" xfId="0" applyNumberFormat="1" applyFont="1" applyAlignment="1">
      <alignment horizontal="left" vertical="center"/>
    </xf>
    <xf numFmtId="182" fontId="8" fillId="0" borderId="0" xfId="0" applyNumberFormat="1" applyFont="1" applyAlignment="1">
      <alignment vertical="center"/>
    </xf>
    <xf numFmtId="26" fontId="8" fillId="0" borderId="0" xfId="0" applyNumberFormat="1" applyFont="1" applyAlignment="1">
      <alignment vertical="center"/>
    </xf>
    <xf numFmtId="0" fontId="8" fillId="0" borderId="0" xfId="0" applyFont="1" applyAlignment="1">
      <alignment horizontal="center" vertical="center"/>
    </xf>
    <xf numFmtId="193" fontId="8" fillId="0" borderId="0" xfId="0" applyNumberFormat="1" applyFont="1" applyAlignment="1">
      <alignment vertical="center"/>
    </xf>
    <xf numFmtId="184" fontId="8" fillId="0" borderId="0" xfId="0" applyNumberFormat="1" applyFont="1" applyAlignment="1">
      <alignment vertical="center"/>
    </xf>
    <xf numFmtId="0" fontId="24" fillId="0" borderId="0" xfId="0" applyFont="1"/>
    <xf numFmtId="182" fontId="8" fillId="0" borderId="0" xfId="0" applyNumberFormat="1" applyFont="1" applyAlignment="1">
      <alignment horizontal="right" vertical="center"/>
    </xf>
    <xf numFmtId="190" fontId="8" fillId="0" borderId="0" xfId="0" applyNumberFormat="1" applyFont="1" applyAlignment="1">
      <alignment vertical="center"/>
    </xf>
    <xf numFmtId="192" fontId="8" fillId="0" borderId="0" xfId="0" applyNumberFormat="1" applyFont="1" applyAlignment="1">
      <alignment horizontal="right" vertical="center"/>
    </xf>
    <xf numFmtId="0" fontId="8" fillId="0" borderId="0" xfId="0" applyFont="1" applyAlignment="1">
      <alignment horizontal="center"/>
    </xf>
    <xf numFmtId="182" fontId="8" fillId="0" borderId="0" xfId="0" applyNumberFormat="1" applyFont="1" applyAlignment="1">
      <alignment horizontal="center"/>
    </xf>
    <xf numFmtId="0" fontId="25" fillId="0" borderId="0" xfId="0" applyFont="1" applyAlignment="1">
      <alignment horizontal="center"/>
    </xf>
    <xf numFmtId="49" fontId="26" fillId="27" borderId="0" xfId="0" applyNumberFormat="1" applyFont="1" applyFill="1" applyAlignment="1">
      <alignment horizontal="left"/>
    </xf>
    <xf numFmtId="0" fontId="26" fillId="27" borderId="0" xfId="0" applyFont="1" applyFill="1" applyAlignment="1">
      <alignment horizontal="right"/>
    </xf>
    <xf numFmtId="0" fontId="26" fillId="27" borderId="0" xfId="0" applyFont="1" applyFill="1" applyAlignment="1">
      <alignment horizontal="center"/>
    </xf>
    <xf numFmtId="1" fontId="26" fillId="27" borderId="0" xfId="0" applyNumberFormat="1" applyFont="1" applyFill="1" applyAlignment="1">
      <alignment horizontal="center"/>
    </xf>
    <xf numFmtId="188" fontId="26" fillId="27" borderId="0" xfId="0" applyNumberFormat="1" applyFont="1" applyFill="1" applyAlignment="1">
      <alignment horizontal="center"/>
    </xf>
    <xf numFmtId="187" fontId="26" fillId="24" borderId="0" xfId="0" applyNumberFormat="1" applyFont="1" applyFill="1" applyAlignment="1">
      <alignment horizontal="right"/>
    </xf>
    <xf numFmtId="0" fontId="26" fillId="28" borderId="0" xfId="0" applyFont="1" applyFill="1" applyAlignment="1">
      <alignment horizontal="center"/>
    </xf>
    <xf numFmtId="189" fontId="8" fillId="0" borderId="0" xfId="0" applyNumberFormat="1" applyFont="1" applyAlignment="1">
      <alignment horizontal="right" vertical="center"/>
    </xf>
    <xf numFmtId="196" fontId="26" fillId="27" borderId="0" xfId="0" applyNumberFormat="1" applyFont="1" applyFill="1" applyAlignment="1">
      <alignment horizontal="center"/>
    </xf>
    <xf numFmtId="0" fontId="8" fillId="0" borderId="0" xfId="0" applyFont="1" applyAlignment="1">
      <alignment vertical="center"/>
    </xf>
    <xf numFmtId="0" fontId="8" fillId="0" borderId="0" xfId="0" applyFont="1" applyAlignment="1">
      <alignment horizontal="right" vertical="center"/>
    </xf>
    <xf numFmtId="0" fontId="27" fillId="0" borderId="0" xfId="50">
      <alignment vertical="center"/>
    </xf>
    <xf numFmtId="0" fontId="49" fillId="0" borderId="34" xfId="50" applyFont="1" applyBorder="1" applyAlignment="1">
      <alignment horizontal="center" vertical="center" wrapText="1"/>
    </xf>
    <xf numFmtId="0" fontId="49" fillId="0" borderId="35" xfId="50" applyFont="1" applyBorder="1" applyAlignment="1">
      <alignment horizontal="center" vertical="center" wrapText="1"/>
    </xf>
    <xf numFmtId="0" fontId="49" fillId="0" borderId="36" xfId="50" applyFont="1" applyBorder="1" applyAlignment="1">
      <alignment horizontal="center" vertical="center" wrapText="1"/>
    </xf>
    <xf numFmtId="0" fontId="49" fillId="0" borderId="37" xfId="50" applyFont="1" applyBorder="1" applyAlignment="1">
      <alignment horizontal="center" vertical="center" wrapText="1"/>
    </xf>
    <xf numFmtId="0" fontId="49" fillId="0" borderId="38" xfId="50" applyFont="1" applyBorder="1" applyAlignment="1">
      <alignment horizontal="center" vertical="center" wrapText="1"/>
    </xf>
    <xf numFmtId="0" fontId="49" fillId="0" borderId="39" xfId="50" applyFont="1" applyBorder="1" applyAlignment="1">
      <alignment horizontal="center" vertical="center" wrapText="1"/>
    </xf>
    <xf numFmtId="0" fontId="49" fillId="0" borderId="40" xfId="50" applyFont="1" applyBorder="1" applyAlignment="1">
      <alignment horizontal="center" vertical="center" wrapText="1"/>
    </xf>
    <xf numFmtId="0" fontId="49" fillId="0" borderId="41" xfId="50" applyFont="1" applyBorder="1" applyAlignment="1">
      <alignment horizontal="center" vertical="center" wrapText="1"/>
    </xf>
    <xf numFmtId="0" fontId="50" fillId="0" borderId="42" xfId="50" applyFont="1" applyBorder="1" applyAlignment="1">
      <alignment horizontal="justify" vertical="center" wrapText="1"/>
    </xf>
    <xf numFmtId="0" fontId="50" fillId="0" borderId="43" xfId="50" applyFont="1" applyBorder="1">
      <alignment vertical="center"/>
    </xf>
    <xf numFmtId="0" fontId="50" fillId="0" borderId="44" xfId="50" applyFont="1" applyBorder="1" applyAlignment="1">
      <alignment vertical="center" wrapText="1"/>
    </xf>
    <xf numFmtId="0" fontId="50" fillId="0" borderId="45" xfId="50" applyFont="1" applyBorder="1" applyAlignment="1">
      <alignment vertical="center" wrapText="1"/>
    </xf>
    <xf numFmtId="0" fontId="50" fillId="0" borderId="46" xfId="50" applyFont="1" applyBorder="1" applyAlignment="1">
      <alignment horizontal="center" vertical="center" wrapText="1"/>
    </xf>
    <xf numFmtId="0" fontId="50" fillId="0" borderId="47" xfId="50" applyFont="1" applyBorder="1" applyAlignment="1">
      <alignment horizontal="justify" vertical="center" wrapText="1"/>
    </xf>
    <xf numFmtId="0" fontId="50" fillId="0" borderId="48" xfId="50" applyFont="1" applyBorder="1" applyAlignment="1">
      <alignment horizontal="justify" vertical="center" wrapText="1"/>
    </xf>
    <xf numFmtId="0" fontId="50" fillId="0" borderId="49" xfId="50" applyFont="1" applyBorder="1">
      <alignment vertical="center"/>
    </xf>
    <xf numFmtId="0" fontId="50" fillId="0" borderId="0" xfId="50" applyFont="1" applyAlignment="1">
      <alignment vertical="center" wrapText="1"/>
    </xf>
    <xf numFmtId="0" fontId="50" fillId="0" borderId="50" xfId="50" applyFont="1" applyBorder="1" applyAlignment="1">
      <alignment vertical="center" wrapText="1"/>
    </xf>
    <xf numFmtId="0" fontId="50" fillId="0" borderId="51" xfId="50" applyFont="1" applyBorder="1" applyAlignment="1">
      <alignment horizontal="center" vertical="center" wrapText="1"/>
    </xf>
    <xf numFmtId="0" fontId="50" fillId="0" borderId="52" xfId="50" applyFont="1" applyBorder="1" applyAlignment="1">
      <alignment horizontal="justify" vertical="center" wrapText="1"/>
    </xf>
    <xf numFmtId="0" fontId="50" fillId="0" borderId="53" xfId="50" applyFont="1" applyBorder="1" applyAlignment="1">
      <alignment vertical="center" wrapText="1"/>
    </xf>
    <xf numFmtId="0" fontId="54" fillId="0" borderId="0" xfId="50" applyFont="1" applyAlignment="1">
      <alignment horizontal="center" vertical="center"/>
    </xf>
    <xf numFmtId="0" fontId="50" fillId="0" borderId="0" xfId="50" applyFont="1" applyAlignment="1">
      <alignment horizontal="justify" vertical="center"/>
    </xf>
    <xf numFmtId="0" fontId="15" fillId="0" borderId="11" xfId="0" applyFont="1" applyBorder="1"/>
    <xf numFmtId="0" fontId="0" fillId="0" borderId="11" xfId="0" applyBorder="1" applyAlignment="1">
      <alignment horizontal="center"/>
    </xf>
    <xf numFmtId="0" fontId="15" fillId="0" borderId="11" xfId="0" applyFont="1" applyBorder="1" applyAlignment="1">
      <alignment vertical="center"/>
    </xf>
    <xf numFmtId="0" fontId="8" fillId="0" borderId="0" xfId="0" applyFont="1" applyAlignment="1">
      <alignment horizontal="centerContinuous"/>
    </xf>
    <xf numFmtId="0" fontId="1" fillId="0" borderId="0" xfId="0" applyFont="1" applyAlignment="1">
      <alignment horizontal="centerContinuous"/>
    </xf>
    <xf numFmtId="0" fontId="56" fillId="0" borderId="0" xfId="0" applyFont="1" applyAlignment="1">
      <alignment vertical="center"/>
    </xf>
    <xf numFmtId="0" fontId="17" fillId="0" borderId="0" xfId="0" applyFont="1" applyAlignment="1">
      <alignment vertical="center"/>
    </xf>
    <xf numFmtId="197" fontId="8" fillId="0" borderId="0" xfId="0" applyNumberFormat="1" applyFont="1" applyAlignment="1">
      <alignment vertical="center"/>
    </xf>
    <xf numFmtId="0" fontId="8" fillId="0" borderId="10" xfId="0" applyFont="1" applyBorder="1" applyAlignment="1">
      <alignment vertical="center"/>
    </xf>
    <xf numFmtId="0" fontId="8" fillId="0" borderId="26" xfId="0" applyFont="1" applyBorder="1" applyAlignment="1">
      <alignment vertical="center"/>
    </xf>
    <xf numFmtId="0" fontId="8" fillId="0" borderId="27" xfId="0" applyFont="1" applyBorder="1" applyAlignment="1">
      <alignment vertical="center"/>
    </xf>
    <xf numFmtId="0" fontId="8" fillId="0" borderId="13" xfId="0" applyFont="1" applyBorder="1" applyAlignment="1">
      <alignment vertical="center"/>
    </xf>
    <xf numFmtId="0" fontId="17" fillId="0" borderId="13" xfId="0" applyFont="1" applyBorder="1" applyAlignment="1">
      <alignment vertical="center"/>
    </xf>
    <xf numFmtId="0" fontId="8" fillId="0" borderId="54" xfId="0" applyFont="1" applyBorder="1" applyAlignment="1">
      <alignment vertical="center"/>
    </xf>
    <xf numFmtId="0" fontId="10" fillId="0" borderId="20" xfId="0" applyFont="1" applyBorder="1" applyAlignment="1">
      <alignment vertical="center"/>
    </xf>
    <xf numFmtId="0" fontId="8" fillId="0" borderId="0" xfId="0" applyFont="1"/>
    <xf numFmtId="0" fontId="13" fillId="0" borderId="0" xfId="0" applyFont="1" applyAlignment="1">
      <alignment horizontal="left" vertical="top"/>
    </xf>
    <xf numFmtId="0" fontId="10" fillId="0" borderId="0" xfId="0" applyFont="1"/>
    <xf numFmtId="0" fontId="8" fillId="0" borderId="26" xfId="0" applyFont="1" applyBorder="1"/>
    <xf numFmtId="0" fontId="8" fillId="0" borderId="20" xfId="0" applyFont="1" applyBorder="1"/>
    <xf numFmtId="0" fontId="1" fillId="0" borderId="11" xfId="0" applyFont="1" applyBorder="1" applyAlignment="1">
      <alignment horizontal="center"/>
    </xf>
    <xf numFmtId="0" fontId="8" fillId="0" borderId="30" xfId="0" applyFont="1" applyBorder="1"/>
    <xf numFmtId="0" fontId="8" fillId="0" borderId="10" xfId="0" applyFont="1" applyBorder="1"/>
    <xf numFmtId="0" fontId="8" fillId="0" borderId="31" xfId="0" applyFont="1" applyBorder="1"/>
    <xf numFmtId="0" fontId="57" fillId="0" borderId="0" xfId="0" applyFont="1" applyAlignment="1">
      <alignment vertical="center"/>
    </xf>
    <xf numFmtId="49" fontId="13" fillId="0" borderId="0" xfId="0" applyNumberFormat="1" applyFont="1" applyAlignment="1">
      <alignment horizontal="left" vertical="center"/>
    </xf>
    <xf numFmtId="0" fontId="13" fillId="0" borderId="0" xfId="0" applyFont="1" applyAlignment="1">
      <alignment horizontal="left" vertical="center"/>
    </xf>
    <xf numFmtId="186" fontId="13" fillId="0" borderId="0" xfId="0" applyNumberFormat="1" applyFont="1" applyAlignment="1">
      <alignment horizontal="left" vertical="center"/>
    </xf>
    <xf numFmtId="0" fontId="17" fillId="0" borderId="11" xfId="0" applyFont="1" applyBorder="1" applyAlignment="1">
      <alignment vertical="center"/>
    </xf>
    <xf numFmtId="0" fontId="8" fillId="0" borderId="11" xfId="0" applyFont="1" applyBorder="1" applyAlignment="1">
      <alignment vertical="center"/>
    </xf>
    <xf numFmtId="0" fontId="1" fillId="0" borderId="11" xfId="0" applyFont="1" applyBorder="1" applyAlignment="1">
      <alignment vertical="center"/>
    </xf>
    <xf numFmtId="0" fontId="10" fillId="0" borderId="55" xfId="0" applyFont="1" applyBorder="1" applyAlignment="1">
      <alignment vertical="center"/>
    </xf>
    <xf numFmtId="0" fontId="1" fillId="0" borderId="0" xfId="0" applyFont="1" applyAlignment="1">
      <alignment horizontal="center"/>
    </xf>
    <xf numFmtId="0" fontId="1" fillId="0" borderId="15" xfId="0" applyFont="1" applyBorder="1" applyAlignment="1">
      <alignment horizontal="center"/>
    </xf>
    <xf numFmtId="0" fontId="60" fillId="0" borderId="0" xfId="0" applyFont="1"/>
    <xf numFmtId="0" fontId="1" fillId="0" borderId="11" xfId="0" applyFont="1" applyBorder="1" applyAlignment="1">
      <alignment horizontal="center" vertical="center"/>
    </xf>
    <xf numFmtId="0" fontId="8" fillId="0" borderId="10" xfId="0" applyFont="1" applyBorder="1" applyAlignment="1">
      <alignment horizontal="center"/>
    </xf>
    <xf numFmtId="0" fontId="8" fillId="0" borderId="15" xfId="0" applyFont="1" applyBorder="1" applyAlignment="1">
      <alignment horizontal="center"/>
    </xf>
    <xf numFmtId="0" fontId="8" fillId="0" borderId="56" xfId="0" applyFont="1" applyBorder="1" applyAlignment="1">
      <alignment horizontal="center"/>
    </xf>
    <xf numFmtId="0" fontId="8" fillId="0" borderId="57" xfId="0" applyFont="1" applyBorder="1" applyAlignment="1">
      <alignment vertical="center"/>
    </xf>
    <xf numFmtId="0" fontId="17" fillId="0" borderId="57" xfId="0" applyFont="1" applyBorder="1" applyAlignment="1">
      <alignment vertical="center"/>
    </xf>
    <xf numFmtId="0" fontId="59" fillId="0" borderId="55" xfId="0" applyFont="1" applyBorder="1" applyAlignment="1">
      <alignment horizontal="center" vertical="center"/>
    </xf>
    <xf numFmtId="196" fontId="8" fillId="0" borderId="0" xfId="0" applyNumberFormat="1" applyFont="1" applyAlignment="1">
      <alignment horizontal="right" vertical="center"/>
    </xf>
    <xf numFmtId="0" fontId="15" fillId="27" borderId="0" xfId="0" applyFont="1" applyFill="1" applyAlignment="1">
      <alignment horizontal="center" vertical="center"/>
    </xf>
    <xf numFmtId="0" fontId="20" fillId="0" borderId="13" xfId="0" applyFont="1" applyBorder="1" applyAlignment="1">
      <alignment horizontal="center" vertical="center"/>
    </xf>
    <xf numFmtId="0" fontId="15" fillId="0" borderId="18" xfId="0" applyFont="1" applyBorder="1" applyAlignment="1">
      <alignment horizontal="center" vertical="center"/>
    </xf>
    <xf numFmtId="0" fontId="61" fillId="0" borderId="11" xfId="0" applyFont="1" applyBorder="1" applyAlignment="1">
      <alignment vertical="center"/>
    </xf>
    <xf numFmtId="0" fontId="18" fillId="0" borderId="11" xfId="0" applyFont="1" applyBorder="1" applyAlignment="1">
      <alignment vertical="center"/>
    </xf>
    <xf numFmtId="194" fontId="61" fillId="0" borderId="11" xfId="0" applyNumberFormat="1" applyFont="1" applyBorder="1" applyAlignment="1">
      <alignment vertical="center"/>
    </xf>
    <xf numFmtId="189" fontId="61" fillId="0" borderId="11" xfId="0" applyNumberFormat="1" applyFont="1" applyBorder="1" applyAlignment="1">
      <alignment vertical="center"/>
    </xf>
    <xf numFmtId="0" fontId="58" fillId="0" borderId="20" xfId="0" applyFont="1" applyBorder="1" applyAlignment="1">
      <alignment vertical="center"/>
    </xf>
    <xf numFmtId="0" fontId="59" fillId="0" borderId="0" xfId="0" applyFont="1" applyAlignment="1">
      <alignment vertical="center"/>
    </xf>
    <xf numFmtId="0" fontId="59" fillId="0" borderId="15" xfId="0" applyFont="1" applyBorder="1" applyAlignment="1">
      <alignment vertical="center"/>
    </xf>
    <xf numFmtId="0" fontId="58" fillId="0" borderId="58" xfId="0" applyFont="1" applyBorder="1" applyAlignment="1">
      <alignment horizontal="center" vertical="center"/>
    </xf>
    <xf numFmtId="0" fontId="59" fillId="0" borderId="20" xfId="0" applyFont="1" applyBorder="1" applyAlignment="1">
      <alignment vertical="center"/>
    </xf>
    <xf numFmtId="195" fontId="59" fillId="0" borderId="0" xfId="0" applyNumberFormat="1" applyFont="1" applyAlignment="1">
      <alignment horizontal="center" vertical="center"/>
    </xf>
    <xf numFmtId="0" fontId="59" fillId="0" borderId="26" xfId="0" applyFont="1" applyBorder="1" applyAlignment="1">
      <alignment vertical="center"/>
    </xf>
    <xf numFmtId="195" fontId="59" fillId="0" borderId="18" xfId="0" applyNumberFormat="1" applyFont="1" applyBorder="1" applyAlignment="1">
      <alignment horizontal="center" vertical="center"/>
    </xf>
    <xf numFmtId="0" fontId="59" fillId="0" borderId="18" xfId="0" applyFont="1" applyBorder="1" applyAlignment="1">
      <alignment vertical="center"/>
    </xf>
    <xf numFmtId="0" fontId="59" fillId="0" borderId="29" xfId="0" applyFont="1" applyBorder="1" applyAlignment="1">
      <alignment vertical="center"/>
    </xf>
    <xf numFmtId="0" fontId="62" fillId="0" borderId="0" xfId="0" applyFont="1" applyAlignment="1">
      <alignment horizontal="centerContinuous" vertical="top"/>
    </xf>
    <xf numFmtId="0" fontId="13" fillId="0" borderId="13" xfId="0" applyFont="1" applyBorder="1" applyAlignment="1">
      <alignment horizontal="left"/>
    </xf>
    <xf numFmtId="0" fontId="13" fillId="0" borderId="54" xfId="0" applyFont="1" applyBorder="1"/>
    <xf numFmtId="0" fontId="18" fillId="0" borderId="0" xfId="0" quotePrefix="1" applyFont="1" applyAlignment="1">
      <alignment vertical="center"/>
    </xf>
    <xf numFmtId="0" fontId="18" fillId="0" borderId="18" xfId="0" quotePrefix="1" applyFont="1" applyBorder="1"/>
    <xf numFmtId="0" fontId="8" fillId="0" borderId="18" xfId="0" applyFont="1" applyBorder="1"/>
    <xf numFmtId="0" fontId="61" fillId="0" borderId="20" xfId="0" applyFont="1" applyBorder="1" applyAlignment="1">
      <alignment vertical="center"/>
    </xf>
    <xf numFmtId="0" fontId="61" fillId="0" borderId="0" xfId="0" applyFont="1"/>
    <xf numFmtId="0" fontId="64" fillId="0" borderId="0" xfId="0" applyFont="1"/>
    <xf numFmtId="0" fontId="61" fillId="0" borderId="26" xfId="0" applyFont="1" applyBorder="1"/>
    <xf numFmtId="0" fontId="65" fillId="0" borderId="0" xfId="0" applyFont="1"/>
    <xf numFmtId="196" fontId="67" fillId="27" borderId="0" xfId="0" applyNumberFormat="1" applyFont="1" applyFill="1" applyAlignment="1">
      <alignment horizontal="center"/>
    </xf>
    <xf numFmtId="0" fontId="67" fillId="29" borderId="0" xfId="0" applyFont="1" applyFill="1" applyAlignment="1">
      <alignment horizontal="center"/>
    </xf>
    <xf numFmtId="0" fontId="5" fillId="0" borderId="0" xfId="0" applyFont="1" applyAlignment="1">
      <alignment vertical="center"/>
    </xf>
    <xf numFmtId="9" fontId="18" fillId="0" borderId="59" xfId="0" applyNumberFormat="1" applyFont="1" applyBorder="1" applyAlignment="1">
      <alignment horizontal="center" vertical="center"/>
    </xf>
    <xf numFmtId="9" fontId="18" fillId="0" borderId="60" xfId="0" applyNumberFormat="1" applyFont="1" applyBorder="1" applyAlignment="1">
      <alignment horizontal="center" vertical="center"/>
    </xf>
    <xf numFmtId="9" fontId="18" fillId="0" borderId="58" xfId="0" applyNumberFormat="1" applyFont="1" applyBorder="1" applyAlignment="1">
      <alignment horizontal="center" vertical="center"/>
    </xf>
    <xf numFmtId="0" fontId="17" fillId="0" borderId="14" xfId="0" applyFont="1" applyBorder="1" applyAlignment="1">
      <alignment horizontal="center"/>
    </xf>
    <xf numFmtId="0" fontId="17" fillId="0" borderId="15" xfId="0" applyFont="1" applyBorder="1" applyAlignment="1">
      <alignment horizontal="center"/>
    </xf>
    <xf numFmtId="194" fontId="13" fillId="0" borderId="14" xfId="0" applyNumberFormat="1" applyFont="1" applyBorder="1" applyAlignment="1">
      <alignment horizontal="center"/>
    </xf>
    <xf numFmtId="194" fontId="13" fillId="0" borderId="0" xfId="0" applyNumberFormat="1" applyFont="1" applyAlignment="1">
      <alignment horizontal="center"/>
    </xf>
    <xf numFmtId="194" fontId="13" fillId="0" borderId="15" xfId="0" applyNumberFormat="1" applyFont="1" applyBorder="1" applyAlignment="1">
      <alignment horizontal="center"/>
    </xf>
    <xf numFmtId="0" fontId="13" fillId="0" borderId="14" xfId="0" applyFont="1" applyBorder="1" applyAlignment="1">
      <alignment horizontal="center"/>
    </xf>
    <xf numFmtId="0" fontId="13" fillId="0" borderId="0" xfId="0" applyFont="1" applyAlignment="1">
      <alignment horizontal="center"/>
    </xf>
    <xf numFmtId="0" fontId="13" fillId="0" borderId="15" xfId="0" applyFont="1" applyBorder="1" applyAlignment="1">
      <alignment horizontal="center"/>
    </xf>
    <xf numFmtId="0" fontId="13" fillId="0" borderId="17" xfId="0" applyFont="1" applyBorder="1" applyAlignment="1">
      <alignment horizontal="center"/>
    </xf>
    <xf numFmtId="0" fontId="13" fillId="0" borderId="18" xfId="0" applyFont="1" applyBorder="1" applyAlignment="1">
      <alignment horizontal="center"/>
    </xf>
    <xf numFmtId="0" fontId="13" fillId="0" borderId="19" xfId="0" applyFont="1" applyBorder="1" applyAlignment="1">
      <alignment horizontal="center"/>
    </xf>
    <xf numFmtId="194" fontId="8" fillId="0" borderId="21" xfId="0" applyNumberFormat="1" applyFont="1" applyBorder="1" applyAlignment="1">
      <alignment horizontal="center" vertical="center"/>
    </xf>
    <xf numFmtId="197" fontId="66" fillId="0" borderId="20" xfId="0" applyNumberFormat="1" applyFont="1" applyBorder="1" applyAlignment="1">
      <alignment horizontal="center" wrapText="1" shrinkToFit="1"/>
    </xf>
    <xf numFmtId="197" fontId="66" fillId="0" borderId="0" xfId="0" applyNumberFormat="1" applyFont="1" applyAlignment="1">
      <alignment horizontal="center" wrapText="1" shrinkToFit="1"/>
    </xf>
    <xf numFmtId="197" fontId="66" fillId="0" borderId="15" xfId="0" applyNumberFormat="1" applyFont="1" applyBorder="1" applyAlignment="1">
      <alignment horizontal="center" wrapText="1" shrinkToFit="1"/>
    </xf>
    <xf numFmtId="197" fontId="66" fillId="0" borderId="28" xfId="0" applyNumberFormat="1" applyFont="1" applyBorder="1" applyAlignment="1">
      <alignment horizontal="center" wrapText="1" shrinkToFit="1"/>
    </xf>
    <xf numFmtId="197" fontId="66" fillId="0" borderId="18" xfId="0" applyNumberFormat="1" applyFont="1" applyBorder="1" applyAlignment="1">
      <alignment horizontal="center" wrapText="1" shrinkToFit="1"/>
    </xf>
    <xf numFmtId="197" fontId="66" fillId="0" borderId="19" xfId="0" applyNumberFormat="1" applyFont="1" applyBorder="1" applyAlignment="1">
      <alignment horizontal="center" wrapText="1" shrinkToFit="1"/>
    </xf>
    <xf numFmtId="0" fontId="13" fillId="0" borderId="20" xfId="0" applyFont="1" applyBorder="1" applyAlignment="1">
      <alignment horizontal="center"/>
    </xf>
    <xf numFmtId="0" fontId="57" fillId="0" borderId="0" xfId="0" quotePrefix="1" applyFont="1" applyAlignment="1">
      <alignment horizontal="center" vertical="center"/>
    </xf>
    <xf numFmtId="20" fontId="59" fillId="0" borderId="54" xfId="0" applyNumberFormat="1" applyFont="1" applyBorder="1" applyAlignment="1">
      <alignment horizontal="center" vertical="center"/>
    </xf>
    <xf numFmtId="0" fontId="59" fillId="0" borderId="29" xfId="0" applyFont="1" applyBorder="1" applyAlignment="1">
      <alignment horizontal="center" vertical="center"/>
    </xf>
    <xf numFmtId="0" fontId="1" fillId="0" borderId="61" xfId="0" applyFont="1" applyBorder="1" applyAlignment="1">
      <alignment horizontal="center" vertical="center"/>
    </xf>
    <xf numFmtId="0" fontId="1" fillId="0" borderId="62" xfId="0" applyFont="1" applyBorder="1" applyAlignment="1">
      <alignment horizontal="center" vertical="center"/>
    </xf>
    <xf numFmtId="0" fontId="58" fillId="0" borderId="32" xfId="0" applyFont="1" applyBorder="1" applyAlignment="1">
      <alignment horizontal="center" vertical="center"/>
    </xf>
    <xf numFmtId="0" fontId="59" fillId="0" borderId="33" xfId="0" applyFont="1" applyBorder="1" applyAlignment="1">
      <alignment horizontal="center" vertical="center"/>
    </xf>
    <xf numFmtId="0" fontId="59" fillId="0" borderId="63" xfId="0" applyFont="1" applyBorder="1" applyAlignment="1">
      <alignment horizontal="center" vertical="center"/>
    </xf>
    <xf numFmtId="0" fontId="1" fillId="0" borderId="55" xfId="0" applyFont="1" applyBorder="1" applyAlignment="1">
      <alignment horizontal="center" vertical="center"/>
    </xf>
    <xf numFmtId="0" fontId="8" fillId="0" borderId="11" xfId="0" applyFont="1" applyBorder="1" applyAlignment="1">
      <alignment horizontal="center" vertical="center"/>
    </xf>
    <xf numFmtId="0" fontId="1" fillId="0" borderId="11" xfId="0" applyFont="1" applyBorder="1" applyAlignment="1">
      <alignment horizontal="center" vertical="center"/>
    </xf>
    <xf numFmtId="0" fontId="1" fillId="0" borderId="32" xfId="0" applyFont="1" applyBorder="1" applyAlignment="1">
      <alignment horizontal="center" vertical="center"/>
    </xf>
    <xf numFmtId="0" fontId="1" fillId="0" borderId="64" xfId="0" applyFont="1" applyBorder="1" applyAlignment="1">
      <alignment horizontal="center" vertical="center"/>
    </xf>
    <xf numFmtId="0" fontId="59" fillId="0" borderId="20" xfId="0" applyFont="1" applyBorder="1" applyAlignment="1">
      <alignment horizontal="center" vertical="center"/>
    </xf>
    <xf numFmtId="0" fontId="59" fillId="0" borderId="0" xfId="0" applyFont="1" applyAlignment="1">
      <alignment horizontal="center" vertical="center"/>
    </xf>
    <xf numFmtId="0" fontId="8" fillId="0" borderId="0" xfId="0" applyFont="1" applyAlignment="1">
      <alignment horizontal="center"/>
    </xf>
    <xf numFmtId="0" fontId="8" fillId="0" borderId="10" xfId="0" applyFont="1" applyBorder="1" applyAlignment="1">
      <alignment horizontal="center"/>
    </xf>
    <xf numFmtId="0" fontId="58" fillId="0" borderId="65" xfId="0" applyFont="1" applyBorder="1" applyAlignment="1">
      <alignment horizontal="center" vertical="center"/>
    </xf>
    <xf numFmtId="0" fontId="58" fillId="0" borderId="66" xfId="0" applyFont="1" applyBorder="1" applyAlignment="1">
      <alignment horizontal="center" vertical="center"/>
    </xf>
    <xf numFmtId="195" fontId="59" fillId="0" borderId="12" xfId="0" applyNumberFormat="1" applyFont="1" applyBorder="1" applyAlignment="1">
      <alignment horizontal="center" vertical="center"/>
    </xf>
    <xf numFmtId="195" fontId="59" fillId="0" borderId="16" xfId="0" applyNumberFormat="1" applyFont="1" applyBorder="1" applyAlignment="1">
      <alignment horizontal="center" vertical="center"/>
    </xf>
    <xf numFmtId="195" fontId="59" fillId="0" borderId="17" xfId="0" applyNumberFormat="1" applyFont="1" applyBorder="1" applyAlignment="1">
      <alignment horizontal="center" vertical="center"/>
    </xf>
    <xf numFmtId="195" fontId="59" fillId="0" borderId="19" xfId="0" applyNumberFormat="1" applyFont="1" applyBorder="1" applyAlignment="1">
      <alignment horizontal="center" vertical="center"/>
    </xf>
    <xf numFmtId="195" fontId="58" fillId="0" borderId="12" xfId="0" applyNumberFormat="1" applyFont="1" applyBorder="1" applyAlignment="1">
      <alignment horizontal="center" vertical="center"/>
    </xf>
    <xf numFmtId="195" fontId="58" fillId="0" borderId="13" xfId="0" applyNumberFormat="1" applyFont="1" applyBorder="1" applyAlignment="1">
      <alignment horizontal="center" vertical="center"/>
    </xf>
    <xf numFmtId="195" fontId="59" fillId="0" borderId="14" xfId="0" applyNumberFormat="1" applyFont="1" applyBorder="1" applyAlignment="1">
      <alignment horizontal="center" vertical="center"/>
    </xf>
    <xf numFmtId="195" fontId="59" fillId="0" borderId="0" xfId="0" applyNumberFormat="1" applyFont="1" applyAlignment="1">
      <alignment horizontal="center" vertical="center"/>
    </xf>
    <xf numFmtId="195" fontId="59" fillId="0" borderId="15" xfId="0" applyNumberFormat="1" applyFont="1" applyBorder="1" applyAlignment="1">
      <alignment horizontal="center" vertical="center"/>
    </xf>
    <xf numFmtId="195" fontId="59" fillId="0" borderId="18" xfId="0" applyNumberFormat="1" applyFont="1" applyBorder="1" applyAlignment="1">
      <alignment horizontal="center" vertical="center"/>
    </xf>
    <xf numFmtId="0" fontId="59" fillId="0" borderId="65" xfId="0" applyFont="1" applyBorder="1" applyAlignment="1">
      <alignment horizontal="center" vertical="center"/>
    </xf>
    <xf numFmtId="0" fontId="59" fillId="0" borderId="60" xfId="0" applyFont="1" applyBorder="1" applyAlignment="1">
      <alignment horizontal="center" vertical="center"/>
    </xf>
    <xf numFmtId="0" fontId="59" fillId="0" borderId="66" xfId="0" applyFont="1" applyBorder="1" applyAlignment="1">
      <alignment horizontal="center" vertical="center"/>
    </xf>
    <xf numFmtId="0" fontId="59" fillId="0" borderId="12" xfId="0" applyFont="1" applyBorder="1" applyAlignment="1">
      <alignment horizontal="center" vertical="center"/>
    </xf>
    <xf numFmtId="0" fontId="59" fillId="0" borderId="13" xfId="0" applyFont="1" applyBorder="1" applyAlignment="1">
      <alignment horizontal="center" vertical="center"/>
    </xf>
    <xf numFmtId="0" fontId="59" fillId="0" borderId="16" xfId="0" applyFont="1" applyBorder="1" applyAlignment="1">
      <alignment horizontal="center" vertical="center"/>
    </xf>
    <xf numFmtId="0" fontId="59" fillId="0" borderId="17" xfId="0" applyFont="1" applyBorder="1" applyAlignment="1">
      <alignment horizontal="center" vertical="center"/>
    </xf>
    <xf numFmtId="0" fontId="59" fillId="0" borderId="18" xfId="0" applyFont="1" applyBorder="1" applyAlignment="1">
      <alignment horizontal="center" vertical="center"/>
    </xf>
    <xf numFmtId="0" fontId="59" fillId="0" borderId="19" xfId="0" applyFont="1" applyBorder="1" applyAlignment="1">
      <alignment horizontal="center" vertical="center"/>
    </xf>
    <xf numFmtId="0" fontId="8" fillId="0" borderId="15" xfId="0" applyFont="1" applyBorder="1" applyAlignment="1">
      <alignment horizontal="center"/>
    </xf>
    <xf numFmtId="0" fontId="8" fillId="0" borderId="56" xfId="0" applyFont="1" applyBorder="1" applyAlignment="1">
      <alignment horizontal="center"/>
    </xf>
    <xf numFmtId="0" fontId="1" fillId="0" borderId="23"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50" fillId="0" borderId="49" xfId="50" applyFont="1" applyBorder="1" applyAlignment="1">
      <alignment horizontal="center" vertical="center"/>
    </xf>
    <xf numFmtId="0" fontId="50" fillId="0" borderId="0" xfId="50" applyFont="1" applyAlignment="1">
      <alignment horizontal="center" vertical="center"/>
    </xf>
    <xf numFmtId="0" fontId="50" fillId="0" borderId="49" xfId="50" applyFont="1" applyBorder="1" applyAlignment="1">
      <alignment horizontal="justify" vertical="center" wrapText="1"/>
    </xf>
    <xf numFmtId="0" fontId="50" fillId="0" borderId="50" xfId="50" applyFont="1" applyBorder="1" applyAlignment="1">
      <alignment horizontal="justify" vertical="center" wrapText="1"/>
    </xf>
    <xf numFmtId="0" fontId="50" fillId="0" borderId="43" xfId="50" applyFont="1" applyBorder="1" applyAlignment="1">
      <alignment horizontal="center" vertical="center"/>
    </xf>
    <xf numFmtId="0" fontId="50" fillId="0" borderId="44" xfId="50" applyFont="1" applyBorder="1" applyAlignment="1">
      <alignment horizontal="center" vertical="center"/>
    </xf>
    <xf numFmtId="0" fontId="50" fillId="0" borderId="43" xfId="50" applyFont="1" applyBorder="1" applyAlignment="1">
      <alignment horizontal="justify" vertical="center" wrapText="1"/>
    </xf>
    <xf numFmtId="0" fontId="50" fillId="0" borderId="45" xfId="50" applyFont="1" applyBorder="1" applyAlignment="1">
      <alignment horizontal="justify" vertical="center" wrapText="1"/>
    </xf>
    <xf numFmtId="0" fontId="46" fillId="0" borderId="0" xfId="50" applyFont="1" applyAlignment="1">
      <alignment horizontal="left" vertical="center"/>
    </xf>
    <xf numFmtId="0" fontId="47" fillId="0" borderId="0" xfId="50" applyFont="1" applyAlignment="1">
      <alignment horizontal="center" vertical="center"/>
    </xf>
    <xf numFmtId="0" fontId="49" fillId="0" borderId="67" xfId="50" applyFont="1" applyBorder="1" applyAlignment="1">
      <alignment horizontal="center" vertical="center" wrapText="1"/>
    </xf>
    <xf numFmtId="0" fontId="49" fillId="0" borderId="36" xfId="50" applyFont="1" applyBorder="1" applyAlignment="1">
      <alignment horizontal="center" vertical="center" wrapText="1"/>
    </xf>
    <xf numFmtId="0" fontId="50" fillId="0" borderId="68" xfId="50" applyFont="1" applyBorder="1" applyAlignment="1">
      <alignment horizontal="center" vertical="center" wrapText="1"/>
    </xf>
    <xf numFmtId="0" fontId="50" fillId="0" borderId="69" xfId="50" applyFont="1" applyBorder="1" applyAlignment="1">
      <alignment horizontal="center" vertical="center" wrapText="1"/>
    </xf>
    <xf numFmtId="0" fontId="50" fillId="0" borderId="49" xfId="50" applyFont="1" applyBorder="1" applyAlignment="1">
      <alignment horizontal="center" vertical="center" wrapText="1"/>
    </xf>
    <xf numFmtId="0" fontId="50" fillId="0" borderId="0" xfId="50" applyFont="1" applyAlignment="1">
      <alignment horizontal="center" vertical="center" wrapText="1"/>
    </xf>
    <xf numFmtId="0" fontId="49" fillId="0" borderId="35" xfId="50" applyFont="1" applyBorder="1" applyAlignment="1">
      <alignment horizontal="center" vertical="center" wrapText="1"/>
    </xf>
    <xf numFmtId="0" fontId="50" fillId="0" borderId="70" xfId="50" applyFont="1" applyBorder="1" applyAlignment="1">
      <alignment horizontal="justify" vertical="center" wrapText="1"/>
    </xf>
    <xf numFmtId="0" fontId="50" fillId="0" borderId="0" xfId="50" applyFont="1" applyAlignment="1">
      <alignment horizontal="justify" vertical="center" wrapText="1"/>
    </xf>
    <xf numFmtId="0" fontId="50" fillId="0" borderId="71" xfId="50" applyFont="1" applyBorder="1" applyAlignment="1">
      <alignment horizontal="justify" vertical="center" wrapText="1"/>
    </xf>
    <xf numFmtId="0" fontId="49" fillId="0" borderId="34" xfId="50" applyFont="1" applyBorder="1" applyAlignment="1">
      <alignment horizontal="center" vertical="center" wrapText="1"/>
    </xf>
    <xf numFmtId="0" fontId="49" fillId="0" borderId="51" xfId="50" applyFont="1" applyBorder="1" applyAlignment="1">
      <alignment horizontal="center" vertical="center" wrapText="1"/>
    </xf>
    <xf numFmtId="0" fontId="50" fillId="0" borderId="72" xfId="50" applyFont="1" applyBorder="1" applyAlignment="1">
      <alignment horizontal="justify" vertical="center" wrapText="1"/>
    </xf>
    <xf numFmtId="0" fontId="50" fillId="0" borderId="73" xfId="50" applyFont="1" applyBorder="1" applyAlignment="1">
      <alignment horizontal="justify" vertical="center" wrapText="1"/>
    </xf>
    <xf numFmtId="0" fontId="50" fillId="0" borderId="74" xfId="50" applyFont="1" applyBorder="1" applyAlignment="1">
      <alignment horizontal="justify" vertical="center" wrapText="1"/>
    </xf>
    <xf numFmtId="0" fontId="50" fillId="0" borderId="75" xfId="50" applyFont="1" applyBorder="1" applyAlignment="1">
      <alignment horizontal="center" vertical="center" wrapText="1"/>
    </xf>
    <xf numFmtId="0" fontId="50" fillId="0" borderId="76" xfId="50" applyFont="1" applyBorder="1" applyAlignment="1">
      <alignment horizontal="center" vertical="center" wrapText="1"/>
    </xf>
    <xf numFmtId="0" fontId="49" fillId="0" borderId="70" xfId="50" applyFont="1" applyBorder="1" applyAlignment="1">
      <alignment horizontal="justify" vertical="center" wrapText="1"/>
    </xf>
    <xf numFmtId="0" fontId="49" fillId="0" borderId="0" xfId="50" applyFont="1" applyAlignment="1">
      <alignment horizontal="justify" vertical="center" wrapText="1"/>
    </xf>
    <xf numFmtId="0" fontId="49" fillId="0" borderId="71" xfId="50" applyFont="1" applyBorder="1" applyAlignment="1">
      <alignment horizontal="justify" vertical="center" wrapText="1"/>
    </xf>
    <xf numFmtId="0" fontId="49" fillId="0" borderId="77" xfId="50" applyFont="1" applyBorder="1" applyAlignment="1">
      <alignment horizontal="center" vertical="center" wrapText="1"/>
    </xf>
    <xf numFmtId="0" fontId="49" fillId="0" borderId="78" xfId="50" applyFont="1" applyBorder="1" applyAlignment="1">
      <alignment horizontal="center" vertical="center" wrapText="1"/>
    </xf>
    <xf numFmtId="0" fontId="50" fillId="0" borderId="79" xfId="50" applyFont="1" applyBorder="1" applyAlignment="1">
      <alignment horizontal="center" vertical="center" wrapText="1"/>
    </xf>
    <xf numFmtId="0" fontId="50" fillId="0" borderId="80" xfId="50" applyFont="1" applyBorder="1" applyAlignment="1">
      <alignment horizontal="center" vertical="center" wrapText="1"/>
    </xf>
    <xf numFmtId="0" fontId="50" fillId="0" borderId="81" xfId="50" applyFont="1" applyBorder="1" applyAlignment="1">
      <alignment horizontal="center" vertical="center" wrapText="1"/>
    </xf>
    <xf numFmtId="0" fontId="50" fillId="0" borderId="82" xfId="50" applyFont="1" applyBorder="1" applyAlignment="1">
      <alignment horizontal="center" vertical="center" wrapText="1"/>
    </xf>
    <xf numFmtId="0" fontId="50" fillId="0" borderId="83" xfId="50" applyFont="1" applyBorder="1" applyAlignment="1">
      <alignment horizontal="center" vertical="center" wrapText="1"/>
    </xf>
    <xf numFmtId="0" fontId="51" fillId="0" borderId="84" xfId="50" applyFont="1" applyBorder="1" applyAlignment="1">
      <alignment horizontal="center" vertical="center" wrapText="1"/>
    </xf>
    <xf numFmtId="0" fontId="51" fillId="0" borderId="85" xfId="50" applyFont="1" applyBorder="1" applyAlignment="1">
      <alignment horizontal="center" vertical="center" wrapText="1"/>
    </xf>
    <xf numFmtId="0" fontId="51" fillId="0" borderId="73" xfId="50" applyFont="1" applyBorder="1" applyAlignment="1">
      <alignment horizontal="center" vertical="center" wrapText="1"/>
    </xf>
    <xf numFmtId="0" fontId="51" fillId="0" borderId="86" xfId="50" applyFont="1" applyBorder="1" applyAlignment="1">
      <alignment horizontal="center" vertical="center" wrapText="1"/>
    </xf>
    <xf numFmtId="0" fontId="49" fillId="0" borderId="79" xfId="50" applyFont="1" applyBorder="1" applyAlignment="1">
      <alignment horizontal="center" vertical="center" wrapText="1"/>
    </xf>
    <xf numFmtId="0" fontId="49" fillId="0" borderId="80" xfId="50" applyFont="1" applyBorder="1" applyAlignment="1">
      <alignment horizontal="center" vertical="center" wrapText="1"/>
    </xf>
    <xf numFmtId="0" fontId="49" fillId="0" borderId="87" xfId="50" applyFont="1" applyBorder="1" applyAlignment="1">
      <alignment horizontal="center" vertical="center" wrapText="1"/>
    </xf>
    <xf numFmtId="0" fontId="49" fillId="0" borderId="68" xfId="50" applyFont="1" applyBorder="1" applyAlignment="1">
      <alignment horizontal="center" vertical="center" wrapText="1"/>
    </xf>
    <xf numFmtId="0" fontId="49" fillId="0" borderId="69" xfId="50" applyFont="1" applyBorder="1" applyAlignment="1">
      <alignment horizontal="center" vertical="center" wrapText="1"/>
    </xf>
    <xf numFmtId="0" fontId="49" fillId="0" borderId="88" xfId="50" applyFont="1" applyBorder="1" applyAlignment="1">
      <alignment horizontal="center" vertical="center" wrapText="1"/>
    </xf>
    <xf numFmtId="0" fontId="49" fillId="0" borderId="89" xfId="50" applyFont="1" applyBorder="1" applyAlignment="1">
      <alignment horizontal="center" vertical="center" wrapText="1"/>
    </xf>
    <xf numFmtId="0" fontId="49" fillId="0" borderId="90" xfId="50" applyFont="1" applyBorder="1" applyAlignment="1">
      <alignment horizontal="center" vertical="center" wrapText="1"/>
    </xf>
    <xf numFmtId="0" fontId="49" fillId="0" borderId="50" xfId="50" applyFont="1" applyBorder="1" applyAlignment="1">
      <alignment horizontal="center" vertical="center" wrapText="1"/>
    </xf>
    <xf numFmtId="0" fontId="49" fillId="0" borderId="91" xfId="50" applyFont="1" applyBorder="1" applyAlignment="1">
      <alignment horizontal="center" vertical="center" wrapText="1"/>
    </xf>
    <xf numFmtId="0" fontId="49" fillId="0" borderId="53" xfId="50" applyFont="1" applyBorder="1" applyAlignment="1">
      <alignment horizontal="center" vertical="center" wrapText="1"/>
    </xf>
    <xf numFmtId="0" fontId="50" fillId="0" borderId="92" xfId="50" applyFont="1" applyBorder="1" applyAlignment="1">
      <alignment horizontal="center" vertical="center" wrapText="1"/>
    </xf>
    <xf numFmtId="0" fontId="50" fillId="0" borderId="93" xfId="50" applyFont="1" applyBorder="1" applyAlignment="1">
      <alignment horizontal="center" vertical="center" wrapText="1"/>
    </xf>
    <xf numFmtId="0" fontId="50" fillId="0" borderId="94" xfId="50" applyFont="1" applyBorder="1" applyAlignment="1">
      <alignment horizontal="center" vertical="center" wrapText="1"/>
    </xf>
    <xf numFmtId="0" fontId="49" fillId="0" borderId="92" xfId="50" applyFont="1" applyBorder="1" applyAlignment="1">
      <alignment horizontal="center" vertical="center" wrapText="1"/>
    </xf>
    <xf numFmtId="0" fontId="49" fillId="0" borderId="95" xfId="50" applyFont="1" applyBorder="1" applyAlignment="1">
      <alignment horizontal="center" vertical="center" wrapText="1"/>
    </xf>
    <xf numFmtId="0" fontId="49" fillId="0" borderId="81" xfId="50" applyFont="1" applyBorder="1" applyAlignment="1">
      <alignment horizontal="center" vertical="center" wrapText="1"/>
    </xf>
    <xf numFmtId="0" fontId="49" fillId="0" borderId="96" xfId="50" applyFont="1" applyBorder="1" applyAlignment="1">
      <alignment horizontal="center" vertical="center" wrapText="1"/>
    </xf>
    <xf numFmtId="0" fontId="44" fillId="0" borderId="97" xfId="51" applyBorder="1" applyAlignment="1" applyProtection="1">
      <alignment horizontal="center" vertical="center" wrapText="1"/>
    </xf>
    <xf numFmtId="0" fontId="49" fillId="0" borderId="98" xfId="50" applyFont="1" applyBorder="1" applyAlignment="1">
      <alignment horizontal="center" vertical="center" wrapText="1"/>
    </xf>
    <xf numFmtId="0" fontId="50" fillId="0" borderId="43" xfId="50" applyFont="1" applyBorder="1" applyAlignment="1">
      <alignment horizontal="center" vertical="center" wrapText="1"/>
    </xf>
    <xf numFmtId="0" fontId="50" fillId="0" borderId="44" xfId="50" applyFont="1" applyBorder="1" applyAlignment="1">
      <alignment horizontal="center" vertical="center" wrapText="1"/>
    </xf>
    <xf numFmtId="0" fontId="49" fillId="0" borderId="99" xfId="50" applyFont="1" applyBorder="1" applyAlignment="1">
      <alignment horizontal="center" vertical="center" wrapText="1"/>
    </xf>
    <xf numFmtId="0" fontId="49" fillId="0" borderId="100" xfId="50" applyFont="1" applyBorder="1" applyAlignment="1">
      <alignment horizontal="center" vertical="center" wrapText="1"/>
    </xf>
    <xf numFmtId="0" fontId="49" fillId="0" borderId="101" xfId="50" applyFont="1" applyBorder="1" applyAlignment="1">
      <alignment horizontal="center" vertical="center" wrapText="1"/>
    </xf>
    <xf numFmtId="0" fontId="44" fillId="0" borderId="77" xfId="51" applyBorder="1" applyAlignment="1" applyProtection="1">
      <alignment horizontal="center" vertical="center" shrinkToFit="1"/>
    </xf>
    <xf numFmtId="0" fontId="50" fillId="0" borderId="102" xfId="50" applyFont="1" applyBorder="1" applyAlignment="1">
      <alignment horizontal="center" vertical="center" shrinkToFit="1"/>
    </xf>
    <xf numFmtId="0" fontId="49" fillId="0" borderId="103" xfId="50" applyFont="1" applyBorder="1" applyAlignment="1">
      <alignment horizontal="justify" vertical="top" wrapText="1"/>
    </xf>
    <xf numFmtId="0" fontId="49" fillId="0" borderId="69" xfId="50" applyFont="1" applyBorder="1" applyAlignment="1">
      <alignment horizontal="justify" vertical="top" wrapText="1"/>
    </xf>
    <xf numFmtId="0" fontId="49" fillId="0" borderId="104" xfId="50" applyFont="1" applyBorder="1" applyAlignment="1">
      <alignment horizontal="justify" vertical="top" wrapText="1"/>
    </xf>
    <xf numFmtId="0" fontId="53" fillId="0" borderId="90" xfId="50" applyFont="1" applyBorder="1" applyAlignment="1">
      <alignment horizontal="justify" vertical="center" wrapText="1"/>
    </xf>
    <xf numFmtId="0" fontId="53" fillId="0" borderId="0" xfId="50" applyFont="1" applyAlignment="1">
      <alignment horizontal="justify" vertical="center" wrapText="1"/>
    </xf>
    <xf numFmtId="0" fontId="53" fillId="0" borderId="71" xfId="50" applyFont="1" applyBorder="1" applyAlignment="1">
      <alignment horizontal="justify" vertical="center" wrapText="1"/>
    </xf>
    <xf numFmtId="0" fontId="49" fillId="0" borderId="89" xfId="50" applyFont="1" applyBorder="1" applyAlignment="1">
      <alignment horizontal="justify" vertical="top" wrapText="1"/>
    </xf>
    <xf numFmtId="0" fontId="49" fillId="0" borderId="105" xfId="50" applyFont="1" applyBorder="1" applyAlignment="1">
      <alignment horizontal="justify" vertical="top" wrapText="1"/>
    </xf>
    <xf numFmtId="0" fontId="53" fillId="0" borderId="90" xfId="50" applyFont="1" applyBorder="1" applyAlignment="1">
      <alignment horizontal="left" vertical="center" wrapText="1"/>
    </xf>
    <xf numFmtId="0" fontId="53" fillId="0" borderId="0" xfId="50" applyFont="1" applyAlignment="1">
      <alignment horizontal="left" vertical="center" wrapText="1"/>
    </xf>
    <xf numFmtId="0" fontId="53" fillId="0" borderId="71" xfId="50" applyFont="1" applyBorder="1" applyAlignment="1">
      <alignment horizontal="left" vertical="center" wrapText="1"/>
    </xf>
    <xf numFmtId="0" fontId="49" fillId="0" borderId="106" xfId="50" applyFont="1" applyBorder="1" applyAlignment="1">
      <alignment horizontal="justify" vertical="top" wrapText="1"/>
    </xf>
    <xf numFmtId="0" fontId="49" fillId="0" borderId="107" xfId="50" applyFont="1" applyBorder="1" applyAlignment="1">
      <alignment horizontal="justify" vertical="top" wrapText="1"/>
    </xf>
    <xf numFmtId="0" fontId="49" fillId="0" borderId="108" xfId="50" applyFont="1" applyBorder="1" applyAlignment="1">
      <alignment horizontal="justify" vertical="top" wrapText="1"/>
    </xf>
    <xf numFmtId="0" fontId="49" fillId="0" borderId="109" xfId="50" applyFont="1" applyBorder="1" applyAlignment="1">
      <alignment horizontal="left" vertical="center" wrapText="1"/>
    </xf>
    <xf numFmtId="0" fontId="49" fillId="0" borderId="110" xfId="50" applyFont="1" applyBorder="1" applyAlignment="1">
      <alignment horizontal="left" vertical="center" wrapText="1"/>
    </xf>
    <xf numFmtId="0" fontId="49" fillId="0" borderId="111" xfId="50" applyFont="1" applyBorder="1" applyAlignment="1">
      <alignment horizontal="left" vertical="center" wrapText="1"/>
    </xf>
    <xf numFmtId="0" fontId="49" fillId="0" borderId="112" xfId="50" applyFont="1" applyBorder="1" applyAlignment="1">
      <alignment horizontal="left" vertical="center" wrapText="1"/>
    </xf>
    <xf numFmtId="0" fontId="49" fillId="0" borderId="0" xfId="50" applyFont="1" applyAlignment="1">
      <alignment horizontal="left" vertical="center" wrapText="1"/>
    </xf>
    <xf numFmtId="0" fontId="49" fillId="0" borderId="71" xfId="50" applyFont="1" applyBorder="1" applyAlignment="1">
      <alignment horizontal="left" vertical="center" wrapText="1"/>
    </xf>
    <xf numFmtId="0" fontId="49" fillId="0" borderId="113" xfId="50" applyFont="1" applyBorder="1" applyAlignment="1">
      <alignment horizontal="left" vertical="center" wrapText="1"/>
    </xf>
    <xf numFmtId="0" fontId="49" fillId="0" borderId="107" xfId="50" applyFont="1" applyBorder="1" applyAlignment="1">
      <alignment horizontal="left" vertical="center" wrapText="1"/>
    </xf>
    <xf numFmtId="0" fontId="49" fillId="0" borderId="114" xfId="50" applyFont="1" applyBorder="1" applyAlignment="1">
      <alignment horizontal="left" vertical="center" wrapText="1"/>
    </xf>
    <xf numFmtId="0" fontId="49" fillId="0" borderId="115" xfId="50" applyFont="1" applyBorder="1" applyAlignment="1">
      <alignment horizontal="justify" vertical="top" wrapText="1"/>
    </xf>
    <xf numFmtId="0" fontId="49" fillId="0" borderId="116" xfId="50" applyFont="1" applyBorder="1" applyAlignment="1">
      <alignment horizontal="justify" vertical="top" wrapText="1"/>
    </xf>
    <xf numFmtId="0" fontId="49" fillId="0" borderId="117" xfId="50" applyFont="1" applyBorder="1" applyAlignment="1">
      <alignment horizontal="justify" vertical="top" wrapText="1"/>
    </xf>
    <xf numFmtId="0" fontId="49" fillId="0" borderId="118" xfId="50" applyFont="1" applyBorder="1" applyAlignment="1">
      <alignment horizontal="justify" vertical="top" wrapText="1"/>
    </xf>
    <xf numFmtId="0" fontId="49" fillId="0" borderId="119" xfId="50" applyFont="1" applyBorder="1" applyAlignment="1">
      <alignment horizontal="justify" vertical="top" wrapText="1"/>
    </xf>
    <xf numFmtId="0" fontId="49" fillId="0" borderId="120" xfId="50" applyFont="1" applyBorder="1" applyAlignment="1">
      <alignment horizontal="justify" vertical="top" wrapText="1"/>
    </xf>
    <xf numFmtId="0" fontId="49" fillId="0" borderId="110" xfId="50" applyFont="1" applyBorder="1" applyAlignment="1">
      <alignment horizontal="justify" vertical="top" wrapText="1"/>
    </xf>
    <xf numFmtId="0" fontId="49" fillId="0" borderId="121" xfId="50" applyFont="1" applyBorder="1" applyAlignment="1">
      <alignment horizontal="justify" vertical="top" wrapText="1"/>
    </xf>
    <xf numFmtId="0" fontId="49" fillId="0" borderId="90" xfId="50" applyFont="1" applyBorder="1" applyAlignment="1">
      <alignment horizontal="justify" vertical="top" wrapText="1"/>
    </xf>
    <xf numFmtId="0" fontId="49" fillId="0" borderId="0" xfId="50" applyFont="1" applyAlignment="1">
      <alignment horizontal="justify" vertical="top" wrapText="1"/>
    </xf>
    <xf numFmtId="0" fontId="49" fillId="0" borderId="122" xfId="50" applyFont="1" applyBorder="1" applyAlignment="1">
      <alignment horizontal="justify" vertical="top" wrapText="1"/>
    </xf>
    <xf numFmtId="0" fontId="49" fillId="0" borderId="109" xfId="50" applyFont="1" applyBorder="1" applyAlignment="1">
      <alignment horizontal="justify" vertical="top" wrapText="1"/>
    </xf>
    <xf numFmtId="0" fontId="49" fillId="0" borderId="111" xfId="50" applyFont="1" applyBorder="1" applyAlignment="1">
      <alignment horizontal="justify" vertical="top" wrapText="1"/>
    </xf>
    <xf numFmtId="0" fontId="50" fillId="0" borderId="91" xfId="50" applyFont="1" applyBorder="1" applyAlignment="1">
      <alignment horizontal="justify" vertical="center" wrapText="1"/>
    </xf>
    <xf numFmtId="0" fontId="53" fillId="0" borderId="89" xfId="50" applyFont="1" applyBorder="1" applyAlignment="1">
      <alignment horizontal="justify" vertical="center" wrapText="1"/>
    </xf>
    <xf numFmtId="0" fontId="53" fillId="0" borderId="69" xfId="50" applyFont="1" applyBorder="1" applyAlignment="1">
      <alignment horizontal="justify" vertical="center" wrapText="1"/>
    </xf>
    <xf numFmtId="0" fontId="53" fillId="0" borderId="104" xfId="50" applyFont="1" applyBorder="1" applyAlignment="1">
      <alignment horizontal="justify" vertical="center" wrapText="1"/>
    </xf>
    <xf numFmtId="0" fontId="49" fillId="0" borderId="89" xfId="50" applyFont="1" applyBorder="1" applyAlignment="1">
      <alignment horizontal="justify" vertical="center" wrapText="1"/>
    </xf>
    <xf numFmtId="0" fontId="49" fillId="0" borderId="69" xfId="50" applyFont="1" applyBorder="1" applyAlignment="1">
      <alignment horizontal="justify" vertical="center" wrapText="1"/>
    </xf>
    <xf numFmtId="0" fontId="49" fillId="0" borderId="104" xfId="50" applyFont="1" applyBorder="1" applyAlignment="1">
      <alignment horizontal="justify" vertical="center" wrapText="1"/>
    </xf>
    <xf numFmtId="0" fontId="49" fillId="0" borderId="91" xfId="50" applyFont="1" applyBorder="1" applyAlignment="1">
      <alignment horizontal="justify" vertical="center" wrapText="1"/>
    </xf>
    <xf numFmtId="0" fontId="49" fillId="0" borderId="73" xfId="50" applyFont="1" applyBorder="1" applyAlignment="1">
      <alignment horizontal="justify" vertical="center" wrapText="1"/>
    </xf>
    <xf numFmtId="0" fontId="49" fillId="0" borderId="74" xfId="50" applyFont="1" applyBorder="1" applyAlignment="1">
      <alignment horizontal="justify" vertical="center" wrapText="1"/>
    </xf>
    <xf numFmtId="0" fontId="48" fillId="0" borderId="123" xfId="50" applyFont="1" applyBorder="1" applyAlignment="1">
      <alignment horizontal="center" vertical="center" wrapText="1"/>
    </xf>
    <xf numFmtId="0" fontId="48" fillId="0" borderId="124" xfId="50" applyFont="1" applyBorder="1" applyAlignment="1">
      <alignment horizontal="center" vertical="center" wrapText="1"/>
    </xf>
    <xf numFmtId="0" fontId="48" fillId="0" borderId="125" xfId="50" applyFont="1" applyBorder="1" applyAlignment="1">
      <alignment horizontal="center" vertical="center" wrapText="1"/>
    </xf>
    <xf numFmtId="0" fontId="48" fillId="0" borderId="91" xfId="50" applyFont="1" applyBorder="1" applyAlignment="1">
      <alignment horizontal="center" vertical="center" wrapText="1"/>
    </xf>
    <xf numFmtId="0" fontId="48" fillId="0" borderId="73" xfId="50" applyFont="1" applyBorder="1" applyAlignment="1">
      <alignment horizontal="center" vertical="center" wrapText="1"/>
    </xf>
    <xf numFmtId="0" fontId="48" fillId="0" borderId="74" xfId="50" applyFont="1" applyBorder="1" applyAlignment="1">
      <alignment horizontal="center" vertical="center" wrapText="1"/>
    </xf>
    <xf numFmtId="0" fontId="49" fillId="0" borderId="126" xfId="50" applyFont="1" applyBorder="1" applyAlignment="1">
      <alignment horizontal="justify" vertical="center" wrapText="1"/>
    </xf>
    <xf numFmtId="0" fontId="49" fillId="0" borderId="127" xfId="50" applyFont="1" applyBorder="1" applyAlignment="1">
      <alignment horizontal="center" vertical="center" wrapText="1"/>
    </xf>
    <xf numFmtId="0" fontId="50" fillId="0" borderId="128" xfId="50" applyFont="1" applyBorder="1" applyAlignment="1">
      <alignment horizontal="center" vertical="center" wrapText="1"/>
    </xf>
    <xf numFmtId="0" fontId="44" fillId="0" borderId="43" xfId="51" applyBorder="1" applyAlignment="1" applyProtection="1">
      <alignment horizontal="center" vertical="center" wrapText="1"/>
    </xf>
    <xf numFmtId="0" fontId="50" fillId="0" borderId="129" xfId="50" applyFont="1" applyBorder="1" applyAlignment="1">
      <alignment horizontal="center" vertical="center" wrapText="1"/>
    </xf>
    <xf numFmtId="0" fontId="50" fillId="0" borderId="130" xfId="50" applyFont="1" applyBorder="1" applyAlignment="1">
      <alignment horizontal="center" vertical="center" wrapText="1"/>
    </xf>
    <xf numFmtId="0" fontId="50" fillId="0" borderId="107" xfId="50" applyFont="1" applyBorder="1" applyAlignment="1">
      <alignment horizontal="center" vertical="center" wrapText="1"/>
    </xf>
    <xf numFmtId="0" fontId="50" fillId="0" borderId="131" xfId="50" applyFont="1" applyBorder="1" applyAlignment="1">
      <alignment horizontal="center" vertical="center" wrapText="1"/>
    </xf>
  </cellXfs>
  <cellStyles count="52">
    <cellStyle name="20% - 강조색1" xfId="1" builtinId="30" customBuiltin="1"/>
    <cellStyle name="20% - 강조색2" xfId="2" builtinId="34" customBuiltin="1"/>
    <cellStyle name="20% - 강조색3" xfId="3" builtinId="38" customBuiltin="1"/>
    <cellStyle name="20% - 강조색4" xfId="4" builtinId="42" customBuiltin="1"/>
    <cellStyle name="20% - 강조색5" xfId="5" builtinId="46" customBuiltin="1"/>
    <cellStyle name="20% - 강조색6" xfId="6" builtinId="50" customBuiltin="1"/>
    <cellStyle name="40% - 강조색1" xfId="7" builtinId="31" customBuiltin="1"/>
    <cellStyle name="40% - 강조색2" xfId="8" builtinId="35" customBuiltin="1"/>
    <cellStyle name="40% - 강조색3" xfId="9" builtinId="39" customBuiltin="1"/>
    <cellStyle name="40% - 강조색4" xfId="10" builtinId="43" customBuiltin="1"/>
    <cellStyle name="40% - 강조색5" xfId="11" builtinId="47" customBuiltin="1"/>
    <cellStyle name="40% - 강조색6" xfId="12" builtinId="51" customBuiltin="1"/>
    <cellStyle name="60% - 강조색1" xfId="13" builtinId="32" customBuiltin="1"/>
    <cellStyle name="60% - 강조색2" xfId="14" builtinId="36" customBuiltin="1"/>
    <cellStyle name="60% - 강조색3" xfId="15" builtinId="40" customBuiltin="1"/>
    <cellStyle name="60% - 강조색4" xfId="16" builtinId="44" customBuiltin="1"/>
    <cellStyle name="60% - 강조색5" xfId="17" builtinId="48" customBuiltin="1"/>
    <cellStyle name="60% - 강조색6" xfId="18" builtinId="52" customBuiltin="1"/>
    <cellStyle name="Comma [0]_ SG&amp;A Bridge " xfId="19" xr:uid="{8B89967C-7D07-4426-9486-74B606E033B5}"/>
    <cellStyle name="Comma_ SG&amp;A Bridge " xfId="20" xr:uid="{6C1E9069-D850-436A-8DB0-3B8AE67A3B37}"/>
    <cellStyle name="Currency [0]_ SG&amp;A Bridge " xfId="21" xr:uid="{D4591C91-9C20-4034-993D-33380C9623A9}"/>
    <cellStyle name="Currency_ SG&amp;A Bridge " xfId="22" xr:uid="{331FCB6F-CEB3-4333-805B-473F78BF0F82}"/>
    <cellStyle name="Normal_ SG&amp;A Bridge " xfId="23" xr:uid="{274CF214-BB24-4651-AE22-D1E406F8B902}"/>
    <cellStyle name="강조색1" xfId="24" builtinId="29" customBuiltin="1"/>
    <cellStyle name="강조색2" xfId="25" builtinId="33" customBuiltin="1"/>
    <cellStyle name="강조색3" xfId="26" builtinId="37" customBuiltin="1"/>
    <cellStyle name="강조색4" xfId="27" builtinId="41" customBuiltin="1"/>
    <cellStyle name="강조색5" xfId="28" builtinId="45" customBuiltin="1"/>
    <cellStyle name="강조색6" xfId="29" builtinId="49" customBuiltin="1"/>
    <cellStyle name="경고문" xfId="30" builtinId="11" customBuiltin="1"/>
    <cellStyle name="계산" xfId="31" builtinId="22" customBuiltin="1"/>
    <cellStyle name="나쁨" xfId="32" builtinId="27" customBuiltin="1"/>
    <cellStyle name="메모" xfId="33" builtinId="10" customBuiltin="1"/>
    <cellStyle name="보통" xfId="34" builtinId="28" customBuiltin="1"/>
    <cellStyle name="뷭?_BOOKSHIP" xfId="35" xr:uid="{8A24A8D2-8DDC-4D6E-9524-480B6D48B91E}"/>
    <cellStyle name="설명 텍스트" xfId="36" builtinId="53" customBuiltin="1"/>
    <cellStyle name="셀 확인" xfId="37" builtinId="23" customBuiltin="1"/>
    <cellStyle name="연결된 셀" xfId="38" builtinId="24" customBuiltin="1"/>
    <cellStyle name="요약" xfId="39" builtinId="25" customBuiltin="1"/>
    <cellStyle name="입력" xfId="40" builtinId="20" customBuiltin="1"/>
    <cellStyle name="제목" xfId="41" builtinId="15" customBuiltin="1"/>
    <cellStyle name="제목 1" xfId="42" builtinId="16" customBuiltin="1"/>
    <cellStyle name="제목 2" xfId="43" builtinId="17" customBuiltin="1"/>
    <cellStyle name="제목 3" xfId="44" builtinId="18" customBuiltin="1"/>
    <cellStyle name="제목 4" xfId="45" builtinId="19" customBuiltin="1"/>
    <cellStyle name="좋음" xfId="46" builtinId="26" customBuiltin="1"/>
    <cellStyle name="출력" xfId="47" builtinId="21" customBuiltin="1"/>
    <cellStyle name="콤마 [0]_내용" xfId="48" xr:uid="{52886DA6-7DB3-4435-99ED-D94F3C11B4E2}"/>
    <cellStyle name="콤마_내용" xfId="49" xr:uid="{14743D68-BD33-436B-AD94-309B5A55B2FF}"/>
    <cellStyle name="표준" xfId="0" builtinId="0"/>
    <cellStyle name="표준_원산지증명서" xfId="50" xr:uid="{AA3CDD8E-E1C0-4967-A37D-7A0EF14B214D}"/>
    <cellStyle name="하이퍼링크_원산지증명서" xfId="51" xr:uid="{1B4F0ACC-949D-4572-AD7C-79D02BD7158C}"/>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emf"/><Relationship Id="rId1" Type="http://schemas.openxmlformats.org/officeDocument/2006/relationships/image" Target="../media/image1.emf"/><Relationship Id="rId5" Type="http://schemas.openxmlformats.org/officeDocument/2006/relationships/image" Target="../media/image5.pn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9.emf"/><Relationship Id="rId1" Type="http://schemas.openxmlformats.org/officeDocument/2006/relationships/image" Target="../media/image8.emf"/><Relationship Id="rId5" Type="http://schemas.openxmlformats.org/officeDocument/2006/relationships/image" Target="../media/image5.png"/><Relationship Id="rId4" Type="http://schemas.openxmlformats.org/officeDocument/2006/relationships/image" Target="../media/image4.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3.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7.emf"/><Relationship Id="rId1" Type="http://schemas.openxmlformats.org/officeDocument/2006/relationships/image" Target="../media/image6.emf"/></Relationships>
</file>

<file path=xl/drawings/_rels/vmlDrawing2.vml.rels><?xml version="1.0" encoding="UTF-8" standalone="yes"?>
<Relationships xmlns="http://schemas.openxmlformats.org/package/2006/relationships"><Relationship Id="rId2" Type="http://schemas.openxmlformats.org/officeDocument/2006/relationships/image" Target="../media/image11.emf"/><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38100</xdr:colOff>
          <xdr:row>27</xdr:row>
          <xdr:rowOff>57150</xdr:rowOff>
        </xdr:from>
        <xdr:to>
          <xdr:col>3</xdr:col>
          <xdr:colOff>419100</xdr:colOff>
          <xdr:row>46</xdr:row>
          <xdr:rowOff>104775</xdr:rowOff>
        </xdr:to>
        <xdr:pic>
          <xdr:nvPicPr>
            <xdr:cNvPr id="45013" name="Picture 2">
              <a:extLst>
                <a:ext uri="{FF2B5EF4-FFF2-40B4-BE49-F238E27FC236}">
                  <a16:creationId xmlns:a16="http://schemas.microsoft.com/office/drawing/2014/main" id="{B71E681B-D1F0-DAEA-12E6-54355B67C2C8}"/>
                </a:ext>
              </a:extLst>
            </xdr:cNvPr>
            <xdr:cNvPicPr>
              <a:picLocks noChangeAspect="1" noChangeArrowheads="1"/>
              <a:extLst>
                <a:ext uri="{84589F7E-364E-4C9E-8A38-B11213B215E9}">
                  <a14:cameraTool cellRange="쉬핑마크1!$D$2:$F$12" spid="_x0000_s45022"/>
                </a:ext>
              </a:extLst>
            </xdr:cNvPicPr>
          </xdr:nvPicPr>
          <xdr:blipFill>
            <a:blip xmlns:r="http://schemas.openxmlformats.org/officeDocument/2006/relationships" r:embed="rId1"/>
            <a:srcRect/>
            <a:stretch>
              <a:fillRect/>
            </a:stretch>
          </xdr:blipFill>
          <xdr:spPr bwMode="auto">
            <a:xfrm>
              <a:off x="38100" y="4486275"/>
              <a:ext cx="1866900" cy="2990850"/>
            </a:xfrm>
            <a:prstGeom prst="rect">
              <a:avLst/>
            </a:prstGeom>
            <a:solidFill>
              <a:srgbClr val="FFFFFF" mc:Ignorable="a14" a14:legacySpreadsheetColorIndex="9"/>
            </a:solidFill>
            <a:ln>
              <a:noFill/>
            </a:ln>
            <a:extLst>
              <a:ext uri="{91240B29-F687-4F45-9708-019B960494DF}">
                <a14:hiddenLine w="9525">
                  <a:solidFill>
                    <a:srgbClr val="000000" mc:Ignorable="a14" a14:legacySpreadsheetColorIndex="64"/>
                  </a:solidFill>
                  <a:miter lim="800000"/>
                  <a:headEnd/>
                  <a:tailEnd/>
                </a14:hiddenLine>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104775</xdr:colOff>
          <xdr:row>28</xdr:row>
          <xdr:rowOff>171450</xdr:rowOff>
        </xdr:from>
        <xdr:to>
          <xdr:col>14</xdr:col>
          <xdr:colOff>333375</xdr:colOff>
          <xdr:row>42</xdr:row>
          <xdr:rowOff>47625</xdr:rowOff>
        </xdr:to>
        <xdr:pic>
          <xdr:nvPicPr>
            <xdr:cNvPr id="45014" name="Picture 5">
              <a:extLst>
                <a:ext uri="{FF2B5EF4-FFF2-40B4-BE49-F238E27FC236}">
                  <a16:creationId xmlns:a16="http://schemas.microsoft.com/office/drawing/2014/main" id="{F2A22592-77A3-D8DF-2898-9AE88D5834FA}"/>
                </a:ext>
              </a:extLst>
            </xdr:cNvPr>
            <xdr:cNvPicPr>
              <a:picLocks noChangeAspect="1" noChangeArrowheads="1"/>
              <a:extLst>
                <a:ext uri="{84589F7E-364E-4C9E-8A38-B11213B215E9}">
                  <a14:cameraTool cellRange="INVOICE!$A$1:$F$3" spid="_x0000_s45023"/>
                </a:ext>
              </a:extLst>
            </xdr:cNvPicPr>
          </xdr:nvPicPr>
          <xdr:blipFill>
            <a:blip xmlns:r="http://schemas.openxmlformats.org/officeDocument/2006/relationships" r:embed="rId2"/>
            <a:srcRect/>
            <a:stretch>
              <a:fillRect/>
            </a:stretch>
          </xdr:blipFill>
          <xdr:spPr bwMode="auto">
            <a:xfrm>
              <a:off x="2038350" y="4752975"/>
              <a:ext cx="5667375" cy="2057400"/>
            </a:xfrm>
            <a:prstGeom prst="rect">
              <a:avLst/>
            </a:prstGeom>
            <a:solidFill>
              <a:srgbClr val="FFFFFF" mc:Ignorable="a14" a14:legacySpreadsheetColorIndex="9"/>
            </a:solidFill>
            <a:ln>
              <a:noFill/>
            </a:ln>
            <a:extLst>
              <a:ext uri="{91240B29-F687-4F45-9708-019B960494DF}">
                <a14:hiddenLine w="9525">
                  <a:solidFill>
                    <a:srgbClr val="000000" mc:Ignorable="a14" a14:legacySpreadsheetColorIndex="64"/>
                  </a:solidFill>
                  <a:miter lim="800000"/>
                  <a:headEnd/>
                  <a:tailEnd/>
                </a14:hiddenLine>
              </a:ext>
            </a:extLst>
          </xdr:spPr>
        </xdr:pic>
        <xdr:clientData/>
      </xdr:twoCellAnchor>
    </mc:Choice>
    <mc:Fallback/>
  </mc:AlternateContent>
  <xdr:twoCellAnchor>
    <xdr:from>
      <xdr:col>11</xdr:col>
      <xdr:colOff>581025</xdr:colOff>
      <xdr:row>56</xdr:row>
      <xdr:rowOff>57150</xdr:rowOff>
    </xdr:from>
    <xdr:to>
      <xdr:col>14</xdr:col>
      <xdr:colOff>352425</xdr:colOff>
      <xdr:row>65</xdr:row>
      <xdr:rowOff>28575</xdr:rowOff>
    </xdr:to>
    <xdr:grpSp>
      <xdr:nvGrpSpPr>
        <xdr:cNvPr id="45015" name="그룹 1">
          <a:extLst>
            <a:ext uri="{FF2B5EF4-FFF2-40B4-BE49-F238E27FC236}">
              <a16:creationId xmlns:a16="http://schemas.microsoft.com/office/drawing/2014/main" id="{B3242ED2-3D42-8527-BDF5-38BD1EC3E8B4}"/>
            </a:ext>
          </a:extLst>
        </xdr:cNvPr>
        <xdr:cNvGrpSpPr>
          <a:grpSpLocks/>
        </xdr:cNvGrpSpPr>
      </xdr:nvGrpSpPr>
      <xdr:grpSpPr bwMode="auto">
        <a:xfrm>
          <a:off x="5762625" y="9010650"/>
          <a:ext cx="1962150" cy="1343025"/>
          <a:chOff x="5715828" y="8882314"/>
          <a:chExt cx="2052017" cy="1343809"/>
        </a:xfrm>
      </xdr:grpSpPr>
      <xdr:grpSp>
        <xdr:nvGrpSpPr>
          <xdr:cNvPr id="45016" name="그룹 4">
            <a:extLst>
              <a:ext uri="{FF2B5EF4-FFF2-40B4-BE49-F238E27FC236}">
                <a16:creationId xmlns:a16="http://schemas.microsoft.com/office/drawing/2014/main" id="{76B3A2CB-FA01-BFA9-3F18-9D8B0EA7762D}"/>
              </a:ext>
            </a:extLst>
          </xdr:cNvPr>
          <xdr:cNvGrpSpPr>
            <a:grpSpLocks/>
          </xdr:cNvGrpSpPr>
        </xdr:nvGrpSpPr>
        <xdr:grpSpPr bwMode="auto">
          <a:xfrm>
            <a:off x="5715828" y="9226826"/>
            <a:ext cx="2052017" cy="999297"/>
            <a:chOff x="5466936" y="8622194"/>
            <a:chExt cx="3200815" cy="1532285"/>
          </a:xfrm>
        </xdr:grpSpPr>
        <xdr:pic>
          <xdr:nvPicPr>
            <xdr:cNvPr id="45018" name="그림 1">
              <a:extLst>
                <a:ext uri="{FF2B5EF4-FFF2-40B4-BE49-F238E27FC236}">
                  <a16:creationId xmlns:a16="http://schemas.microsoft.com/office/drawing/2014/main" id="{41F7ABDB-8739-3DDD-8FF4-17FC4B5A20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77919"/>
            <a:stretch>
              <a:fillRect/>
            </a:stretch>
          </xdr:blipFill>
          <xdr:spPr bwMode="auto">
            <a:xfrm>
              <a:off x="5466936" y="9889021"/>
              <a:ext cx="3200815" cy="2654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5019" name="그림 5">
              <a:extLst>
                <a:ext uri="{FF2B5EF4-FFF2-40B4-BE49-F238E27FC236}">
                  <a16:creationId xmlns:a16="http://schemas.microsoft.com/office/drawing/2014/main" id="{7D656F31-E5DD-B8A7-7F86-4FFD2BC9022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368777" y="8622194"/>
              <a:ext cx="1558921" cy="1276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pic>
        <xdr:nvPicPr>
          <xdr:cNvPr id="45017" name="그림 3">
            <a:extLst>
              <a:ext uri="{FF2B5EF4-FFF2-40B4-BE49-F238E27FC236}">
                <a16:creationId xmlns:a16="http://schemas.microsoft.com/office/drawing/2014/main" id="{DE7CE2EB-B764-5D0B-3527-C3AEB0C6F96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013175" y="8882314"/>
            <a:ext cx="1496830" cy="11705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419100</xdr:colOff>
          <xdr:row>29</xdr:row>
          <xdr:rowOff>114300</xdr:rowOff>
        </xdr:from>
        <xdr:to>
          <xdr:col>14</xdr:col>
          <xdr:colOff>485775</xdr:colOff>
          <xdr:row>42</xdr:row>
          <xdr:rowOff>123825</xdr:rowOff>
        </xdr:to>
        <xdr:pic>
          <xdr:nvPicPr>
            <xdr:cNvPr id="46037" name="Picture 6">
              <a:extLst>
                <a:ext uri="{FF2B5EF4-FFF2-40B4-BE49-F238E27FC236}">
                  <a16:creationId xmlns:a16="http://schemas.microsoft.com/office/drawing/2014/main" id="{899CE59A-975B-4F72-1B70-E43AFEE22F61}"/>
                </a:ext>
              </a:extLst>
            </xdr:cNvPr>
            <xdr:cNvPicPr>
              <a:picLocks noChangeAspect="1" noChangeArrowheads="1"/>
              <a:extLst>
                <a:ext uri="{84589F7E-364E-4C9E-8A38-B11213B215E9}">
                  <a14:cameraTool cellRange="PACKING!$A$1:$H$3" spid="_x0000_s46046"/>
                </a:ext>
              </a:extLst>
            </xdr:cNvPicPr>
          </xdr:nvPicPr>
          <xdr:blipFill>
            <a:blip xmlns:r="http://schemas.openxmlformats.org/officeDocument/2006/relationships" r:embed="rId1"/>
            <a:srcRect/>
            <a:stretch>
              <a:fillRect/>
            </a:stretch>
          </xdr:blipFill>
          <xdr:spPr bwMode="auto">
            <a:xfrm>
              <a:off x="1905000" y="4895850"/>
              <a:ext cx="6172200" cy="1990725"/>
            </a:xfrm>
            <a:prstGeom prst="rect">
              <a:avLst/>
            </a:prstGeom>
            <a:solidFill>
              <a:srgbClr val="FFFFFF" mc:Ignorable="a14" a14:legacySpreadsheetColorIndex="9"/>
            </a:solidFill>
            <a:ln>
              <a:noFill/>
            </a:ln>
            <a:extLst>
              <a:ext uri="{91240B29-F687-4F45-9708-019B960494DF}">
                <a14:hiddenLine w="9525">
                  <a:solidFill>
                    <a:srgbClr val="000000" mc:Ignorable="a14" a14:legacySpreadsheetColorIndex="64"/>
                  </a:solidFill>
                  <a:miter lim="800000"/>
                  <a:headEnd/>
                  <a:tailEnd/>
                </a14:hiddenLine>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47625</xdr:rowOff>
        </xdr:from>
        <xdr:to>
          <xdr:col>3</xdr:col>
          <xdr:colOff>361950</xdr:colOff>
          <xdr:row>43</xdr:row>
          <xdr:rowOff>95250</xdr:rowOff>
        </xdr:to>
        <xdr:pic>
          <xdr:nvPicPr>
            <xdr:cNvPr id="46038" name="Picture 2">
              <a:extLst>
                <a:ext uri="{FF2B5EF4-FFF2-40B4-BE49-F238E27FC236}">
                  <a16:creationId xmlns:a16="http://schemas.microsoft.com/office/drawing/2014/main" id="{DA38DD72-CB5C-C22D-CCE0-3FE48E9E24C1}"/>
                </a:ext>
              </a:extLst>
            </xdr:cNvPr>
            <xdr:cNvPicPr preferRelativeResize="0">
              <a:picLocks noChangeArrowheads="1"/>
              <a:extLst>
                <a:ext uri="{84589F7E-364E-4C9E-8A38-B11213B215E9}">
                  <a14:cameraTool cellRange="쉬핑마크1!$D$2:$F$12" spid="_x0000_s46047"/>
                </a:ext>
              </a:extLst>
            </xdr:cNvPicPr>
          </xdr:nvPicPr>
          <xdr:blipFill>
            <a:blip xmlns:r="http://schemas.openxmlformats.org/officeDocument/2006/relationships" r:embed="rId2"/>
            <a:srcRect/>
            <a:stretch>
              <a:fillRect/>
            </a:stretch>
          </xdr:blipFill>
          <xdr:spPr bwMode="auto">
            <a:xfrm>
              <a:off x="28575" y="4619625"/>
              <a:ext cx="1819275" cy="2390775"/>
            </a:xfrm>
            <a:prstGeom prst="rect">
              <a:avLst/>
            </a:prstGeom>
            <a:solidFill>
              <a:srgbClr val="FFFFFF" mc:Ignorable="a14" a14:legacySpreadsheetColorIndex="9"/>
            </a:solidFill>
            <a:ln>
              <a:noFill/>
            </a:ln>
            <a:extLst>
              <a:ext uri="{91240B29-F687-4F45-9708-019B960494DF}">
                <a14:hiddenLine w="9525">
                  <a:solidFill>
                    <a:srgbClr val="000000" mc:Ignorable="a14" a14:legacySpreadsheetColorIndex="64"/>
                  </a:solidFill>
                  <a:miter lim="800000"/>
                  <a:headEnd/>
                  <a:tailEnd/>
                </a14:hiddenLine>
              </a:ext>
            </a:extLst>
          </xdr:spPr>
        </xdr:pic>
        <xdr:clientData/>
      </xdr:twoCellAnchor>
    </mc:Choice>
    <mc:Fallback/>
  </mc:AlternateContent>
  <xdr:twoCellAnchor>
    <xdr:from>
      <xdr:col>11</xdr:col>
      <xdr:colOff>600075</xdr:colOff>
      <xdr:row>56</xdr:row>
      <xdr:rowOff>38100</xdr:rowOff>
    </xdr:from>
    <xdr:to>
      <xdr:col>14</xdr:col>
      <xdr:colOff>371475</xdr:colOff>
      <xdr:row>65</xdr:row>
      <xdr:rowOff>9525</xdr:rowOff>
    </xdr:to>
    <xdr:grpSp>
      <xdr:nvGrpSpPr>
        <xdr:cNvPr id="46039" name="그룹 1">
          <a:extLst>
            <a:ext uri="{FF2B5EF4-FFF2-40B4-BE49-F238E27FC236}">
              <a16:creationId xmlns:a16="http://schemas.microsoft.com/office/drawing/2014/main" id="{609039A3-280F-F345-8F3B-00A2C6D4D046}"/>
            </a:ext>
          </a:extLst>
        </xdr:cNvPr>
        <xdr:cNvGrpSpPr>
          <a:grpSpLocks/>
        </xdr:cNvGrpSpPr>
      </xdr:nvGrpSpPr>
      <xdr:grpSpPr bwMode="auto">
        <a:xfrm>
          <a:off x="5915025" y="9239250"/>
          <a:ext cx="2047875" cy="1343025"/>
          <a:chOff x="5715828" y="8882314"/>
          <a:chExt cx="2052017" cy="1343809"/>
        </a:xfrm>
      </xdr:grpSpPr>
      <xdr:grpSp>
        <xdr:nvGrpSpPr>
          <xdr:cNvPr id="46040" name="그룹 4">
            <a:extLst>
              <a:ext uri="{FF2B5EF4-FFF2-40B4-BE49-F238E27FC236}">
                <a16:creationId xmlns:a16="http://schemas.microsoft.com/office/drawing/2014/main" id="{7DFCEEFC-15F5-70B4-52EE-3BD12D9DBFB0}"/>
              </a:ext>
            </a:extLst>
          </xdr:cNvPr>
          <xdr:cNvGrpSpPr>
            <a:grpSpLocks/>
          </xdr:cNvGrpSpPr>
        </xdr:nvGrpSpPr>
        <xdr:grpSpPr bwMode="auto">
          <a:xfrm>
            <a:off x="5715828" y="9226826"/>
            <a:ext cx="2052017" cy="999297"/>
            <a:chOff x="5466936" y="8622194"/>
            <a:chExt cx="3200815" cy="1532285"/>
          </a:xfrm>
        </xdr:grpSpPr>
        <xdr:pic>
          <xdr:nvPicPr>
            <xdr:cNvPr id="46042" name="그림 1">
              <a:extLst>
                <a:ext uri="{FF2B5EF4-FFF2-40B4-BE49-F238E27FC236}">
                  <a16:creationId xmlns:a16="http://schemas.microsoft.com/office/drawing/2014/main" id="{1AA2FD1D-AFB0-01DA-81EA-9274D3790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77919"/>
            <a:stretch>
              <a:fillRect/>
            </a:stretch>
          </xdr:blipFill>
          <xdr:spPr bwMode="auto">
            <a:xfrm>
              <a:off x="5466936" y="9889021"/>
              <a:ext cx="3200815" cy="2654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6043" name="그림 5">
              <a:extLst>
                <a:ext uri="{FF2B5EF4-FFF2-40B4-BE49-F238E27FC236}">
                  <a16:creationId xmlns:a16="http://schemas.microsoft.com/office/drawing/2014/main" id="{189B00FB-9736-5CDC-E3F2-3A6E9F3B424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368777" y="8622194"/>
              <a:ext cx="1558921" cy="1276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pic>
        <xdr:nvPicPr>
          <xdr:cNvPr id="46041" name="그림 3">
            <a:extLst>
              <a:ext uri="{FF2B5EF4-FFF2-40B4-BE49-F238E27FC236}">
                <a16:creationId xmlns:a16="http://schemas.microsoft.com/office/drawing/2014/main" id="{F1F05C8B-D524-4602-F577-42E5D5A24B4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013175" y="8882314"/>
            <a:ext cx="1496830" cy="11705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142875</xdr:colOff>
      <xdr:row>11</xdr:row>
      <xdr:rowOff>47625</xdr:rowOff>
    </xdr:from>
    <xdr:to>
      <xdr:col>18</xdr:col>
      <xdr:colOff>180975</xdr:colOff>
      <xdr:row>23</xdr:row>
      <xdr:rowOff>228600</xdr:rowOff>
    </xdr:to>
    <xdr:pic>
      <xdr:nvPicPr>
        <xdr:cNvPr id="31161" name="Picture 1" descr="image001">
          <a:extLst>
            <a:ext uri="{FF2B5EF4-FFF2-40B4-BE49-F238E27FC236}">
              <a16:creationId xmlns:a16="http://schemas.microsoft.com/office/drawing/2014/main" id="{908B67DF-0DC8-ECD6-1B8F-815B036B22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15650" y="2133600"/>
          <a:ext cx="5372100" cy="2505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847725</xdr:colOff>
      <xdr:row>73</xdr:row>
      <xdr:rowOff>66675</xdr:rowOff>
    </xdr:from>
    <xdr:to>
      <xdr:col>5</xdr:col>
      <xdr:colOff>152400</xdr:colOff>
      <xdr:row>74</xdr:row>
      <xdr:rowOff>161925</xdr:rowOff>
    </xdr:to>
    <xdr:pic>
      <xdr:nvPicPr>
        <xdr:cNvPr id="26387" name="Picture 10" descr="President Sign">
          <a:extLst>
            <a:ext uri="{FF2B5EF4-FFF2-40B4-BE49-F238E27FC236}">
              <a16:creationId xmlns:a16="http://schemas.microsoft.com/office/drawing/2014/main" id="{D1873FE7-AA7F-CEE2-81B4-E2526A590C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09825" y="16011525"/>
          <a:ext cx="1600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hyperlink" Target="mailto:jadcock@borgwarner.com" TargetMode="External"/><Relationship Id="rId2" Type="http://schemas.openxmlformats.org/officeDocument/2006/relationships/hyperlink" Target="mailto:sylee@kc.co.kr" TargetMode="External"/><Relationship Id="rId1" Type="http://schemas.openxmlformats.org/officeDocument/2006/relationships/hyperlink" Target="mailto:sylee@kc.co.kr" TargetMode="External"/><Relationship Id="rId5" Type="http://schemas.openxmlformats.org/officeDocument/2006/relationships/drawing" Target="../drawings/drawing4.xml"/><Relationship Id="rId4"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71B44-B0F2-40A3-B116-ED2DC00ACB8A}">
  <sheetPr>
    <tabColor theme="5"/>
  </sheetPr>
  <dimension ref="A1:P78"/>
  <sheetViews>
    <sheetView showGridLines="0" tabSelected="1" view="pageBreakPreview" topLeftCell="B7" zoomScaleNormal="100" zoomScaleSheetLayoutView="100" workbookViewId="0">
      <selection activeCell="H3" sqref="H3"/>
    </sheetView>
  </sheetViews>
  <sheetFormatPr defaultColWidth="5.77734375" defaultRowHeight="12.75"/>
  <cols>
    <col min="1" max="3" width="5.77734375" style="36" customWidth="1"/>
    <col min="4" max="4" width="5.21875" style="36" customWidth="1"/>
    <col min="5" max="5" width="5.77734375" style="36" customWidth="1"/>
    <col min="6" max="6" width="7.109375" style="36" customWidth="1"/>
    <col min="7" max="7" width="1.44140625" style="36" customWidth="1"/>
    <col min="8" max="8" width="5.77734375" style="36" customWidth="1"/>
    <col min="9" max="9" width="3.44140625" style="47" customWidth="1"/>
    <col min="10" max="10" width="10.109375" style="36" customWidth="1"/>
    <col min="11" max="11" width="4.21875" style="36" customWidth="1"/>
    <col min="12" max="12" width="10.77734375" style="36" customWidth="1"/>
    <col min="13" max="13" width="7.5546875" style="36" bestFit="1" customWidth="1"/>
    <col min="14" max="14" width="7.21875" style="36" customWidth="1"/>
    <col min="15" max="15" width="6.109375" style="36" customWidth="1"/>
    <col min="16" max="16" width="5.77734375" style="36" customWidth="1"/>
    <col min="17" max="17" width="13" style="36" customWidth="1"/>
    <col min="18" max="16384" width="5.77734375" style="36"/>
  </cols>
  <sheetData>
    <row r="1" spans="1:16" s="44" customFormat="1" ht="35.25" customHeight="1">
      <c r="A1" s="244" t="s">
        <v>53</v>
      </c>
      <c r="B1" s="245"/>
      <c r="C1" s="245"/>
      <c r="D1" s="245"/>
      <c r="E1" s="245"/>
      <c r="F1" s="245"/>
      <c r="G1" s="245"/>
      <c r="H1" s="245"/>
      <c r="I1" s="245"/>
      <c r="J1" s="245"/>
      <c r="K1" s="245"/>
      <c r="L1" s="245"/>
      <c r="M1" s="245"/>
      <c r="N1" s="245"/>
      <c r="O1" s="246"/>
      <c r="P1" s="43"/>
    </row>
    <row r="2" spans="1:16" s="55" customFormat="1" ht="21" customHeight="1">
      <c r="A2" s="81" t="s">
        <v>248</v>
      </c>
      <c r="B2" s="50"/>
      <c r="C2" s="50"/>
      <c r="D2" s="50"/>
      <c r="E2" s="50"/>
      <c r="F2" s="51"/>
      <c r="G2" s="52"/>
      <c r="H2" s="121" t="s">
        <v>267</v>
      </c>
      <c r="I2" s="54"/>
      <c r="J2" s="53"/>
      <c r="K2" s="258">
        <v>46076</v>
      </c>
      <c r="L2" s="258"/>
      <c r="M2" s="258"/>
      <c r="N2" s="53"/>
      <c r="O2" s="82"/>
    </row>
    <row r="3" spans="1:16">
      <c r="A3" s="83" t="s">
        <v>260</v>
      </c>
      <c r="F3" s="38"/>
      <c r="G3" s="37" t="s">
        <v>164</v>
      </c>
      <c r="O3" s="84"/>
    </row>
    <row r="4" spans="1:16">
      <c r="A4" s="45" t="s">
        <v>261</v>
      </c>
      <c r="F4" s="38"/>
      <c r="G4" s="37"/>
      <c r="O4" s="84"/>
    </row>
    <row r="5" spans="1:16">
      <c r="A5" s="36" t="s">
        <v>262</v>
      </c>
      <c r="F5" s="38"/>
      <c r="G5" s="37"/>
      <c r="O5" s="84"/>
    </row>
    <row r="6" spans="1:16">
      <c r="A6" s="45" t="s">
        <v>263</v>
      </c>
      <c r="F6" s="38"/>
      <c r="G6" s="37"/>
      <c r="O6" s="84"/>
    </row>
    <row r="7" spans="1:16">
      <c r="A7" s="45" t="s">
        <v>264</v>
      </c>
      <c r="F7" s="38"/>
      <c r="G7" s="37"/>
      <c r="O7" s="84"/>
    </row>
    <row r="8" spans="1:16">
      <c r="A8" s="36" t="s">
        <v>265</v>
      </c>
      <c r="F8" s="38"/>
      <c r="G8" s="37"/>
      <c r="O8" s="84"/>
    </row>
    <row r="9" spans="1:16">
      <c r="A9" s="45" t="s">
        <v>266</v>
      </c>
      <c r="F9" s="38"/>
      <c r="G9" s="37"/>
      <c r="O9" s="84"/>
    </row>
    <row r="10" spans="1:16">
      <c r="F10" s="38"/>
      <c r="G10" s="37"/>
      <c r="O10" s="84"/>
    </row>
    <row r="11" spans="1:16">
      <c r="A11" s="83" t="s">
        <v>259</v>
      </c>
      <c r="F11" s="38"/>
      <c r="G11" s="37"/>
      <c r="O11" s="84"/>
    </row>
    <row r="12" spans="1:16">
      <c r="A12" s="85" t="s">
        <v>165</v>
      </c>
      <c r="B12" s="35"/>
      <c r="C12" s="35"/>
      <c r="D12" s="35"/>
      <c r="E12" s="35"/>
      <c r="F12" s="39"/>
      <c r="G12" s="37"/>
      <c r="O12" s="84"/>
    </row>
    <row r="13" spans="1:16" ht="6" customHeight="1">
      <c r="A13" s="83"/>
      <c r="F13" s="38"/>
      <c r="G13" s="37"/>
      <c r="O13" s="84"/>
    </row>
    <row r="14" spans="1:16">
      <c r="A14" s="45" t="s">
        <v>166</v>
      </c>
      <c r="F14" s="38"/>
      <c r="G14" s="37"/>
      <c r="O14" s="84"/>
    </row>
    <row r="15" spans="1:16">
      <c r="A15" s="86"/>
      <c r="B15" s="41"/>
      <c r="C15" s="41"/>
      <c r="D15" s="41"/>
      <c r="E15" s="41"/>
      <c r="F15" s="42"/>
      <c r="G15" s="37"/>
      <c r="O15" s="84"/>
    </row>
    <row r="16" spans="1:16" ht="13.5">
      <c r="A16" s="85" t="s">
        <v>167</v>
      </c>
      <c r="B16" s="35"/>
      <c r="C16" s="39"/>
      <c r="D16" s="34" t="s">
        <v>168</v>
      </c>
      <c r="E16" s="35"/>
      <c r="F16" s="39"/>
      <c r="G16" s="37"/>
      <c r="I16" s="243" t="s">
        <v>249</v>
      </c>
      <c r="O16" s="84"/>
    </row>
    <row r="17" spans="1:15" ht="6" customHeight="1">
      <c r="A17" s="83"/>
      <c r="C17" s="38"/>
      <c r="D17" s="37"/>
      <c r="F17" s="38"/>
      <c r="G17" s="37"/>
      <c r="I17" s="36"/>
      <c r="O17" s="84"/>
    </row>
    <row r="18" spans="1:15" ht="13.5">
      <c r="A18" s="265" t="s">
        <v>251</v>
      </c>
      <c r="B18" s="253"/>
      <c r="C18" s="254"/>
      <c r="D18" s="252"/>
      <c r="E18" s="253"/>
      <c r="F18" s="254"/>
      <c r="G18" s="37"/>
      <c r="I18" s="243" t="s">
        <v>250</v>
      </c>
      <c r="O18" s="84"/>
    </row>
    <row r="19" spans="1:15">
      <c r="A19" s="83"/>
      <c r="C19" s="38"/>
      <c r="D19" s="252" t="s">
        <v>253</v>
      </c>
      <c r="E19" s="253"/>
      <c r="F19" s="254"/>
      <c r="G19" s="37"/>
      <c r="O19" s="84"/>
    </row>
    <row r="20" spans="1:15">
      <c r="A20" s="86"/>
      <c r="B20" s="41"/>
      <c r="C20" s="42"/>
      <c r="D20" s="255"/>
      <c r="E20" s="256"/>
      <c r="F20" s="257"/>
      <c r="G20" s="37"/>
      <c r="O20" s="84"/>
    </row>
    <row r="21" spans="1:15">
      <c r="A21" s="83" t="s">
        <v>169</v>
      </c>
      <c r="D21" s="34" t="s">
        <v>170</v>
      </c>
      <c r="E21" s="35"/>
      <c r="F21" s="39"/>
      <c r="G21" s="34"/>
      <c r="H21" s="35" t="s">
        <v>239</v>
      </c>
      <c r="I21" s="231"/>
      <c r="J21" s="35"/>
      <c r="K21" s="35"/>
      <c r="L21" s="35"/>
      <c r="M21" s="35"/>
      <c r="N21" s="35"/>
      <c r="O21" s="232"/>
    </row>
    <row r="22" spans="1:15" ht="3.75" customHeight="1">
      <c r="A22" s="83"/>
      <c r="D22" s="37"/>
      <c r="F22" s="38"/>
      <c r="G22" s="37"/>
      <c r="O22" s="84"/>
    </row>
    <row r="23" spans="1:15" ht="13.5" customHeight="1">
      <c r="A23" s="259"/>
      <c r="B23" s="260"/>
      <c r="C23" s="261"/>
      <c r="D23" s="249"/>
      <c r="E23" s="250"/>
      <c r="F23" s="251"/>
      <c r="G23" s="37"/>
      <c r="H23" s="187"/>
      <c r="O23" s="84"/>
    </row>
    <row r="24" spans="1:15">
      <c r="A24" s="262"/>
      <c r="B24" s="263"/>
      <c r="C24" s="264"/>
      <c r="D24" s="40"/>
      <c r="E24" s="41"/>
      <c r="F24" s="42"/>
      <c r="G24" s="40"/>
      <c r="H24" s="41"/>
      <c r="I24" s="48"/>
      <c r="J24" s="41"/>
      <c r="K24" s="41"/>
      <c r="L24" s="41"/>
      <c r="M24" s="41"/>
      <c r="N24" s="41"/>
      <c r="O24" s="87"/>
    </row>
    <row r="25" spans="1:15">
      <c r="A25" s="93" t="s">
        <v>49</v>
      </c>
      <c r="B25" s="94"/>
      <c r="C25" s="94"/>
      <c r="D25" s="95"/>
      <c r="E25" s="94" t="s">
        <v>36</v>
      </c>
      <c r="F25" s="94"/>
      <c r="G25" s="95"/>
      <c r="H25" s="94" t="s">
        <v>37</v>
      </c>
      <c r="I25" s="96"/>
      <c r="J25" s="97" t="s">
        <v>54</v>
      </c>
      <c r="K25" s="105" t="s">
        <v>56</v>
      </c>
      <c r="L25" s="95"/>
      <c r="M25" s="98" t="s">
        <v>58</v>
      </c>
      <c r="N25" s="97" t="s">
        <v>59</v>
      </c>
      <c r="O25" s="99"/>
    </row>
    <row r="26" spans="1:15" ht="9.9499999999999993" customHeight="1">
      <c r="A26" s="93"/>
      <c r="B26" s="94"/>
      <c r="C26" s="94"/>
      <c r="D26" s="100"/>
      <c r="E26" s="94" t="s">
        <v>27</v>
      </c>
      <c r="F26" s="94"/>
      <c r="G26" s="100"/>
      <c r="H26" s="94"/>
      <c r="I26" s="101"/>
      <c r="J26" s="102" t="s">
        <v>55</v>
      </c>
      <c r="K26" s="106"/>
      <c r="L26" s="100"/>
      <c r="M26" s="103"/>
      <c r="N26" s="102"/>
      <c r="O26" s="99"/>
    </row>
    <row r="27" spans="1:15" ht="9.9499999999999993" customHeight="1">
      <c r="A27" s="93"/>
      <c r="B27" s="94"/>
      <c r="C27" s="94"/>
      <c r="D27" s="100"/>
      <c r="E27" s="94"/>
      <c r="F27" s="94"/>
      <c r="G27" s="100"/>
      <c r="H27" s="247" t="s">
        <v>28</v>
      </c>
      <c r="I27" s="248"/>
      <c r="J27" s="104" t="s">
        <v>57</v>
      </c>
      <c r="K27" s="247" t="s">
        <v>57</v>
      </c>
      <c r="L27" s="248"/>
      <c r="M27" s="104"/>
      <c r="N27" s="102"/>
      <c r="O27" s="99"/>
    </row>
    <row r="28" spans="1:15" ht="12" customHeight="1">
      <c r="A28" s="83"/>
      <c r="O28" s="84"/>
    </row>
    <row r="29" spans="1:15" ht="15.75" customHeight="1">
      <c r="A29" s="83"/>
      <c r="E29" s="204" t="s">
        <v>225</v>
      </c>
      <c r="O29" s="84"/>
    </row>
    <row r="30" spans="1:15" ht="12" customHeight="1">
      <c r="A30" s="83"/>
      <c r="O30" s="84"/>
    </row>
    <row r="31" spans="1:15" ht="12" customHeight="1">
      <c r="A31" s="83"/>
      <c r="O31" s="84"/>
    </row>
    <row r="32" spans="1:15" ht="12" customHeight="1">
      <c r="A32" s="83"/>
      <c r="O32" s="84"/>
    </row>
    <row r="33" spans="1:15" ht="12" customHeight="1">
      <c r="A33" s="83"/>
      <c r="O33" s="84"/>
    </row>
    <row r="34" spans="1:15" ht="12" customHeight="1">
      <c r="A34" s="83"/>
      <c r="O34" s="84"/>
    </row>
    <row r="35" spans="1:15" ht="12" customHeight="1">
      <c r="A35" s="83"/>
      <c r="O35" s="84"/>
    </row>
    <row r="36" spans="1:15" ht="12" customHeight="1">
      <c r="A36" s="83"/>
      <c r="O36" s="84"/>
    </row>
    <row r="37" spans="1:15" ht="12" customHeight="1">
      <c r="A37" s="83"/>
      <c r="O37" s="84"/>
    </row>
    <row r="38" spans="1:15" ht="12" customHeight="1">
      <c r="A38" s="83"/>
      <c r="O38" s="84"/>
    </row>
    <row r="39" spans="1:15" ht="12" customHeight="1">
      <c r="A39" s="83"/>
      <c r="O39" s="84"/>
    </row>
    <row r="40" spans="1:15" ht="12" customHeight="1">
      <c r="A40" s="83"/>
      <c r="O40" s="84"/>
    </row>
    <row r="41" spans="1:15" ht="12" customHeight="1">
      <c r="A41" s="83"/>
      <c r="O41" s="84"/>
    </row>
    <row r="42" spans="1:15" ht="12" customHeight="1">
      <c r="A42" s="83"/>
      <c r="O42" s="84"/>
    </row>
    <row r="43" spans="1:15" ht="12" customHeight="1">
      <c r="A43" s="83"/>
      <c r="O43" s="84"/>
    </row>
    <row r="44" spans="1:15" ht="12" customHeight="1">
      <c r="A44" s="83"/>
      <c r="O44" s="84"/>
    </row>
    <row r="45" spans="1:15" ht="12" customHeight="1">
      <c r="A45" s="83"/>
      <c r="O45" s="84"/>
    </row>
    <row r="46" spans="1:15" ht="12" customHeight="1">
      <c r="A46" s="83"/>
      <c r="O46" s="84"/>
    </row>
    <row r="47" spans="1:15" ht="12" customHeight="1">
      <c r="A47" s="83"/>
      <c r="O47" s="84"/>
    </row>
    <row r="48" spans="1:15" ht="12" customHeight="1">
      <c r="A48" s="83"/>
      <c r="O48" s="84"/>
    </row>
    <row r="49" spans="1:15" ht="12" customHeight="1">
      <c r="A49" s="83"/>
      <c r="O49" s="84"/>
    </row>
    <row r="50" spans="1:15" ht="16.5" customHeight="1">
      <c r="A50" s="83"/>
      <c r="O50" s="84"/>
    </row>
    <row r="51" spans="1:15" ht="12" customHeight="1">
      <c r="A51" s="83"/>
      <c r="O51" s="84"/>
    </row>
    <row r="52" spans="1:15" ht="12" customHeight="1">
      <c r="A52" s="83"/>
      <c r="O52" s="84"/>
    </row>
    <row r="53" spans="1:15" ht="12" customHeight="1">
      <c r="A53" s="83"/>
      <c r="O53" s="84"/>
    </row>
    <row r="54" spans="1:15" ht="12" customHeight="1">
      <c r="A54" s="83"/>
      <c r="O54" s="84"/>
    </row>
    <row r="55" spans="1:15" ht="12" customHeight="1">
      <c r="A55" s="83"/>
      <c r="O55" s="84"/>
    </row>
    <row r="56" spans="1:15" ht="12" customHeight="1">
      <c r="A56" s="83"/>
      <c r="I56" s="46"/>
      <c r="J56" s="4"/>
      <c r="K56" s="3"/>
      <c r="L56" s="3"/>
      <c r="O56" s="84"/>
    </row>
    <row r="57" spans="1:15" ht="12" customHeight="1">
      <c r="A57" s="83"/>
      <c r="I57" s="46"/>
      <c r="J57" s="4"/>
      <c r="K57" s="3"/>
      <c r="L57" s="3"/>
      <c r="O57" s="84"/>
    </row>
    <row r="58" spans="1:15" ht="12" customHeight="1">
      <c r="A58" s="83"/>
      <c r="I58" s="46"/>
      <c r="J58" s="4"/>
      <c r="K58" s="3"/>
      <c r="L58" s="3"/>
      <c r="O58" s="84"/>
    </row>
    <row r="59" spans="1:15" ht="12" customHeight="1">
      <c r="A59" s="83"/>
      <c r="I59" s="46"/>
      <c r="J59" s="4"/>
      <c r="K59" s="3"/>
      <c r="L59" s="3"/>
      <c r="O59" s="84"/>
    </row>
    <row r="60" spans="1:15" ht="12" customHeight="1">
      <c r="A60" s="83"/>
      <c r="B60" s="36" t="s">
        <v>60</v>
      </c>
      <c r="I60" s="49"/>
      <c r="J60" s="4"/>
      <c r="K60" s="3"/>
      <c r="L60" s="3"/>
      <c r="O60" s="84"/>
    </row>
    <row r="61" spans="1:15" ht="12" customHeight="1">
      <c r="A61" s="83"/>
      <c r="B61" s="55" t="s">
        <v>0</v>
      </c>
      <c r="I61" s="49"/>
      <c r="J61" s="4"/>
      <c r="K61" s="3"/>
      <c r="L61" s="3"/>
      <c r="O61" s="84"/>
    </row>
    <row r="62" spans="1:15" ht="12" customHeight="1">
      <c r="A62" s="83"/>
      <c r="B62" s="55" t="s">
        <v>254</v>
      </c>
      <c r="I62" s="36"/>
      <c r="J62" s="3"/>
      <c r="K62" s="3"/>
      <c r="O62" s="84"/>
    </row>
    <row r="63" spans="1:15" ht="12" customHeight="1">
      <c r="A63" s="83"/>
      <c r="B63" s="55" t="s">
        <v>256</v>
      </c>
      <c r="I63" s="36"/>
      <c r="J63" s="3"/>
      <c r="K63" s="3"/>
      <c r="L63" s="3"/>
      <c r="O63" s="84"/>
    </row>
    <row r="64" spans="1:15" ht="12" customHeight="1">
      <c r="A64" s="83"/>
      <c r="B64" s="36" t="s">
        <v>51</v>
      </c>
      <c r="I64" s="36"/>
      <c r="J64" s="3"/>
      <c r="K64" s="3"/>
      <c r="L64" s="3"/>
      <c r="O64" s="84"/>
    </row>
    <row r="65" spans="1:16" ht="12" customHeight="1">
      <c r="A65" s="83"/>
      <c r="B65" s="36" t="s">
        <v>52</v>
      </c>
      <c r="I65" s="36"/>
      <c r="J65" s="3"/>
      <c r="K65" s="3"/>
      <c r="L65" s="3"/>
      <c r="O65" s="84"/>
    </row>
    <row r="66" spans="1:16" ht="12" customHeight="1" thickBot="1">
      <c r="A66" s="88"/>
      <c r="B66" s="89"/>
      <c r="C66" s="89"/>
      <c r="D66" s="89"/>
      <c r="E66" s="89"/>
      <c r="F66" s="89"/>
      <c r="G66" s="89"/>
      <c r="H66" s="89"/>
      <c r="I66" s="89"/>
      <c r="J66" s="5"/>
      <c r="K66" s="91"/>
      <c r="L66" s="91"/>
      <c r="M66" s="89"/>
      <c r="N66" s="89"/>
      <c r="O66" s="92"/>
    </row>
    <row r="67" spans="1:16">
      <c r="I67" s="36"/>
    </row>
    <row r="78" spans="1:16" ht="15">
      <c r="P78" s="3"/>
    </row>
  </sheetData>
  <mergeCells count="10">
    <mergeCell ref="A1:O1"/>
    <mergeCell ref="H27:I27"/>
    <mergeCell ref="D23:F23"/>
    <mergeCell ref="D19:F19"/>
    <mergeCell ref="D20:F20"/>
    <mergeCell ref="D18:F18"/>
    <mergeCell ref="K27:L27"/>
    <mergeCell ref="K2:M2"/>
    <mergeCell ref="A23:C24"/>
    <mergeCell ref="A18:C18"/>
  </mergeCells>
  <phoneticPr fontId="6" type="noConversion"/>
  <printOptions horizontalCentered="1" verticalCentered="1"/>
  <pageMargins left="0.35433070866141736" right="0.35433070866141736" top="0.5" bottom="0.78740157480314965" header="0.28000000000000003" footer="0.51181102362204722"/>
  <pageSetup paperSize="9" scale="82" orientation="portrait" horizontalDpi="300" verticalDpi="300" r:id="rId1"/>
  <headerFooter alignWithMargins="0">
    <oddFooter>&amp;C&amp;"Courier New,보통"&amp;9Kyung Chang Precision Ind.Co.,Ltd&amp;R&amp;"Courier New,보통"&amp;8A4(210×297)mm</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B5833-B334-4381-BA61-53B5118CB417}">
  <sheetPr>
    <tabColor theme="5"/>
  </sheetPr>
  <dimension ref="A1:S66"/>
  <sheetViews>
    <sheetView showGridLines="0" view="pageBreakPreview" zoomScaleNormal="100" zoomScaleSheetLayoutView="100" workbookViewId="0">
      <selection activeCell="H3" sqref="H3"/>
    </sheetView>
  </sheetViews>
  <sheetFormatPr defaultColWidth="5.77734375" defaultRowHeight="12.75"/>
  <cols>
    <col min="1" max="3" width="5.77734375" style="36" customWidth="1"/>
    <col min="4" max="4" width="5.21875" style="36" customWidth="1"/>
    <col min="5" max="5" width="5.77734375" style="36" customWidth="1"/>
    <col min="6" max="6" width="7" style="36" customWidth="1"/>
    <col min="7" max="7" width="1.44140625" style="36" customWidth="1"/>
    <col min="8" max="8" width="5.77734375" style="36" customWidth="1"/>
    <col min="9" max="9" width="3.88671875" style="47" customWidth="1"/>
    <col min="10" max="10" width="5.77734375" style="36" customWidth="1"/>
    <col min="11" max="11" width="9.77734375" style="36" customWidth="1"/>
    <col min="12" max="12" width="11.33203125" style="36" customWidth="1"/>
    <col min="13" max="13" width="8.44140625" style="36" customWidth="1"/>
    <col min="14" max="15" width="6.77734375" style="36" customWidth="1"/>
    <col min="16" max="16384" width="5.77734375" style="36"/>
  </cols>
  <sheetData>
    <row r="1" spans="1:16" s="44" customFormat="1" ht="35.25" customHeight="1">
      <c r="A1" s="244" t="s">
        <v>25</v>
      </c>
      <c r="B1" s="245"/>
      <c r="C1" s="245"/>
      <c r="D1" s="245"/>
      <c r="E1" s="245"/>
      <c r="F1" s="245"/>
      <c r="G1" s="245"/>
      <c r="H1" s="245"/>
      <c r="I1" s="245"/>
      <c r="J1" s="245"/>
      <c r="K1" s="245"/>
      <c r="L1" s="245"/>
      <c r="M1" s="245"/>
      <c r="N1" s="245"/>
      <c r="O1" s="246"/>
      <c r="P1" s="43"/>
    </row>
    <row r="2" spans="1:16" s="55" customFormat="1" ht="21" customHeight="1">
      <c r="A2" s="81" t="s">
        <v>163</v>
      </c>
      <c r="B2" s="50"/>
      <c r="C2" s="50"/>
      <c r="D2" s="50"/>
      <c r="E2" s="50"/>
      <c r="F2" s="51"/>
      <c r="G2" s="52"/>
      <c r="H2" s="121" t="s">
        <v>267</v>
      </c>
      <c r="I2" s="54"/>
      <c r="J2" s="53"/>
      <c r="K2" s="258">
        <v>46076</v>
      </c>
      <c r="L2" s="258"/>
      <c r="M2" s="258"/>
      <c r="N2" s="53"/>
      <c r="O2" s="82"/>
    </row>
    <row r="3" spans="1:16">
      <c r="A3" s="83" t="s">
        <v>260</v>
      </c>
      <c r="F3" s="38"/>
      <c r="G3" s="37" t="s">
        <v>164</v>
      </c>
      <c r="O3" s="84"/>
    </row>
    <row r="4" spans="1:16">
      <c r="A4" s="45" t="s">
        <v>261</v>
      </c>
      <c r="F4" s="38"/>
      <c r="G4" s="37"/>
      <c r="O4" s="84"/>
    </row>
    <row r="5" spans="1:16">
      <c r="A5" s="36" t="s">
        <v>262</v>
      </c>
      <c r="F5" s="38"/>
      <c r="G5" s="37"/>
      <c r="O5" s="84"/>
    </row>
    <row r="6" spans="1:16">
      <c r="A6" s="45" t="s">
        <v>263</v>
      </c>
      <c r="F6" s="38"/>
      <c r="G6" s="37"/>
      <c r="O6" s="84"/>
    </row>
    <row r="7" spans="1:16">
      <c r="A7" s="45" t="s">
        <v>264</v>
      </c>
      <c r="F7" s="38"/>
      <c r="G7" s="37"/>
      <c r="O7" s="84"/>
    </row>
    <row r="8" spans="1:16">
      <c r="A8" s="36" t="s">
        <v>265</v>
      </c>
      <c r="F8" s="38"/>
      <c r="G8" s="37"/>
      <c r="O8" s="84"/>
    </row>
    <row r="9" spans="1:16">
      <c r="A9" s="45" t="s">
        <v>266</v>
      </c>
      <c r="F9" s="38"/>
      <c r="G9" s="37"/>
      <c r="O9" s="84"/>
    </row>
    <row r="10" spans="1:16">
      <c r="F10" s="38"/>
      <c r="G10" s="37"/>
      <c r="O10" s="84"/>
    </row>
    <row r="11" spans="1:16">
      <c r="A11" s="83" t="s">
        <v>259</v>
      </c>
      <c r="F11" s="38"/>
      <c r="G11" s="37"/>
      <c r="O11" s="84"/>
    </row>
    <row r="12" spans="1:16">
      <c r="A12" s="85" t="s">
        <v>165</v>
      </c>
      <c r="B12" s="35"/>
      <c r="C12" s="35"/>
      <c r="D12" s="35"/>
      <c r="E12" s="35"/>
      <c r="F12" s="39"/>
      <c r="G12" s="37"/>
      <c r="O12" s="84"/>
    </row>
    <row r="13" spans="1:16" ht="6" customHeight="1">
      <c r="A13" s="83"/>
      <c r="F13" s="38"/>
      <c r="G13" s="37"/>
      <c r="O13" s="84"/>
    </row>
    <row r="14" spans="1:16">
      <c r="A14" s="45" t="s">
        <v>166</v>
      </c>
      <c r="F14" s="38"/>
      <c r="G14" s="37"/>
      <c r="O14" s="84"/>
    </row>
    <row r="15" spans="1:16">
      <c r="A15" s="86"/>
      <c r="B15" s="41"/>
      <c r="C15" s="41"/>
      <c r="D15" s="41"/>
      <c r="E15" s="41"/>
      <c r="F15" s="42"/>
      <c r="G15" s="37"/>
      <c r="O15" s="84"/>
    </row>
    <row r="16" spans="1:16" ht="13.5">
      <c r="A16" s="85" t="s">
        <v>167</v>
      </c>
      <c r="B16" s="35"/>
      <c r="C16" s="39"/>
      <c r="D16" s="34" t="s">
        <v>168</v>
      </c>
      <c r="E16" s="35"/>
      <c r="F16" s="39"/>
      <c r="G16" s="37"/>
      <c r="H16" s="243" t="s">
        <v>249</v>
      </c>
      <c r="O16" s="84"/>
    </row>
    <row r="17" spans="1:19" ht="6" customHeight="1">
      <c r="A17" s="83"/>
      <c r="C17" s="38"/>
      <c r="D17" s="37"/>
      <c r="F17" s="38"/>
      <c r="G17" s="37"/>
      <c r="O17" s="84"/>
    </row>
    <row r="18" spans="1:19" ht="13.5">
      <c r="A18" s="265" t="s">
        <v>252</v>
      </c>
      <c r="B18" s="253"/>
      <c r="C18" s="254"/>
      <c r="D18" s="252"/>
      <c r="E18" s="253"/>
      <c r="F18" s="254"/>
      <c r="G18" s="37"/>
      <c r="H18" s="243" t="s">
        <v>250</v>
      </c>
      <c r="O18" s="84"/>
    </row>
    <row r="19" spans="1:19">
      <c r="A19" s="83"/>
      <c r="C19" s="38"/>
      <c r="D19" s="252" t="s">
        <v>253</v>
      </c>
      <c r="E19" s="253"/>
      <c r="F19" s="254"/>
      <c r="G19" s="37"/>
      <c r="O19" s="84"/>
    </row>
    <row r="20" spans="1:19">
      <c r="A20" s="86"/>
      <c r="B20" s="41"/>
      <c r="C20" s="42"/>
      <c r="D20" s="255"/>
      <c r="E20" s="256"/>
      <c r="F20" s="257"/>
      <c r="G20" s="37"/>
      <c r="O20" s="84"/>
    </row>
    <row r="21" spans="1:19">
      <c r="A21" s="83" t="s">
        <v>169</v>
      </c>
      <c r="D21" s="34" t="s">
        <v>170</v>
      </c>
      <c r="E21" s="35"/>
      <c r="F21" s="39"/>
      <c r="G21" s="34"/>
      <c r="H21" s="35" t="s">
        <v>239</v>
      </c>
      <c r="I21" s="231"/>
      <c r="J21" s="35"/>
      <c r="K21" s="35"/>
      <c r="L21" s="35"/>
      <c r="M21" s="35"/>
      <c r="N21" s="35"/>
      <c r="O21" s="232"/>
    </row>
    <row r="22" spans="1:19" ht="3.75" customHeight="1">
      <c r="A22" s="83"/>
      <c r="D22" s="37"/>
      <c r="F22" s="38"/>
      <c r="G22" s="37"/>
      <c r="O22" s="84"/>
    </row>
    <row r="23" spans="1:19" ht="12.75" customHeight="1">
      <c r="A23" s="259"/>
      <c r="B23" s="260"/>
      <c r="C23" s="261"/>
      <c r="D23" s="249"/>
      <c r="E23" s="250"/>
      <c r="F23" s="251"/>
      <c r="G23" s="37"/>
      <c r="H23" s="187"/>
      <c r="O23" s="84"/>
      <c r="S23" s="36" t="s">
        <v>242</v>
      </c>
    </row>
    <row r="24" spans="1:19">
      <c r="A24" s="262"/>
      <c r="B24" s="263"/>
      <c r="C24" s="264"/>
      <c r="D24" s="40"/>
      <c r="E24" s="41"/>
      <c r="F24" s="42"/>
      <c r="G24" s="40"/>
      <c r="H24" s="41"/>
      <c r="I24" s="48"/>
      <c r="J24" s="41"/>
      <c r="K24" s="41"/>
      <c r="L24" s="41"/>
      <c r="M24" s="41"/>
      <c r="N24" s="41"/>
      <c r="O24" s="87"/>
    </row>
    <row r="25" spans="1:19">
      <c r="A25" s="93" t="s">
        <v>48</v>
      </c>
      <c r="B25" s="94"/>
      <c r="C25" s="94"/>
      <c r="D25" s="95"/>
      <c r="E25" s="94" t="s">
        <v>36</v>
      </c>
      <c r="F25" s="94"/>
      <c r="G25" s="95"/>
      <c r="H25" s="94" t="s">
        <v>37</v>
      </c>
      <c r="I25" s="96"/>
      <c r="J25" s="97" t="s">
        <v>38</v>
      </c>
      <c r="K25" s="97" t="s">
        <v>39</v>
      </c>
      <c r="L25" s="97" t="s">
        <v>40</v>
      </c>
      <c r="M25" s="98" t="s">
        <v>41</v>
      </c>
      <c r="N25" s="97" t="s">
        <v>61</v>
      </c>
      <c r="O25" s="99" t="s">
        <v>42</v>
      </c>
    </row>
    <row r="26" spans="1:19" ht="9.9499999999999993" customHeight="1">
      <c r="A26" s="93"/>
      <c r="B26" s="94"/>
      <c r="C26" s="94"/>
      <c r="D26" s="100"/>
      <c r="E26" s="94" t="s">
        <v>27</v>
      </c>
      <c r="F26" s="94"/>
      <c r="G26" s="100"/>
      <c r="H26" s="94"/>
      <c r="I26" s="101"/>
      <c r="J26" s="102"/>
      <c r="K26" s="102" t="s">
        <v>43</v>
      </c>
      <c r="L26" s="102" t="s">
        <v>43</v>
      </c>
      <c r="M26" s="103" t="s">
        <v>44</v>
      </c>
      <c r="N26" s="102"/>
      <c r="O26" s="99"/>
    </row>
    <row r="27" spans="1:19" ht="9.9499999999999993" customHeight="1">
      <c r="A27" s="93"/>
      <c r="B27" s="94"/>
      <c r="C27" s="94"/>
      <c r="D27" s="100"/>
      <c r="E27" s="94"/>
      <c r="F27" s="94"/>
      <c r="G27" s="100"/>
      <c r="H27" s="247" t="s">
        <v>28</v>
      </c>
      <c r="I27" s="248"/>
      <c r="J27" s="104" t="s">
        <v>45</v>
      </c>
      <c r="K27" s="104" t="s">
        <v>46</v>
      </c>
      <c r="L27" s="102" t="s">
        <v>46</v>
      </c>
      <c r="M27" s="104" t="s">
        <v>47</v>
      </c>
      <c r="N27" s="102"/>
      <c r="O27" s="99"/>
    </row>
    <row r="28" spans="1:19" ht="12" customHeight="1">
      <c r="A28" s="83"/>
      <c r="O28" s="84"/>
    </row>
    <row r="29" spans="1:19" ht="16.5" customHeight="1">
      <c r="A29" s="83"/>
      <c r="E29" s="204" t="s">
        <v>225</v>
      </c>
      <c r="O29" s="84"/>
    </row>
    <row r="30" spans="1:19" ht="12" customHeight="1">
      <c r="A30" s="83"/>
      <c r="O30" s="84"/>
    </row>
    <row r="31" spans="1:19" ht="12" customHeight="1">
      <c r="A31" s="83"/>
      <c r="O31" s="84"/>
    </row>
    <row r="32" spans="1:19" ht="12" customHeight="1">
      <c r="A32" s="83"/>
      <c r="O32" s="84"/>
    </row>
    <row r="33" spans="1:15" ht="12" customHeight="1">
      <c r="A33" s="83"/>
      <c r="O33" s="84"/>
    </row>
    <row r="34" spans="1:15" ht="12" customHeight="1">
      <c r="A34" s="83"/>
      <c r="O34" s="84"/>
    </row>
    <row r="35" spans="1:15" ht="12" customHeight="1">
      <c r="A35" s="83"/>
      <c r="O35" s="84"/>
    </row>
    <row r="36" spans="1:15" ht="12" customHeight="1">
      <c r="A36" s="83"/>
      <c r="O36" s="84"/>
    </row>
    <row r="37" spans="1:15" ht="12" customHeight="1">
      <c r="A37" s="83"/>
      <c r="O37" s="84"/>
    </row>
    <row r="38" spans="1:15" ht="12" customHeight="1">
      <c r="A38" s="83"/>
      <c r="O38" s="84"/>
    </row>
    <row r="39" spans="1:15" ht="12" customHeight="1">
      <c r="A39" s="83"/>
      <c r="O39" s="84"/>
    </row>
    <row r="40" spans="1:15" ht="12" customHeight="1">
      <c r="A40" s="83"/>
      <c r="O40" s="84"/>
    </row>
    <row r="41" spans="1:15" ht="12" customHeight="1">
      <c r="A41" s="83"/>
      <c r="O41" s="84"/>
    </row>
    <row r="42" spans="1:15" ht="12" customHeight="1">
      <c r="A42" s="83"/>
      <c r="O42" s="84"/>
    </row>
    <row r="43" spans="1:15" ht="12" customHeight="1">
      <c r="A43" s="83"/>
      <c r="O43" s="84"/>
    </row>
    <row r="44" spans="1:15" ht="12" customHeight="1">
      <c r="A44" s="83"/>
      <c r="O44" s="84"/>
    </row>
    <row r="45" spans="1:15" ht="12" customHeight="1">
      <c r="A45" s="83"/>
      <c r="O45" s="84"/>
    </row>
    <row r="46" spans="1:15" ht="12" customHeight="1">
      <c r="A46" s="83"/>
      <c r="O46" s="84"/>
    </row>
    <row r="47" spans="1:15" ht="12" customHeight="1">
      <c r="A47" s="83"/>
      <c r="O47" s="84"/>
    </row>
    <row r="48" spans="1:15" ht="12" customHeight="1">
      <c r="A48" s="83"/>
      <c r="O48" s="84"/>
    </row>
    <row r="49" spans="1:15" ht="12" customHeight="1">
      <c r="A49" s="83"/>
      <c r="O49" s="84"/>
    </row>
    <row r="50" spans="1:15" ht="12" customHeight="1">
      <c r="A50" s="83"/>
      <c r="O50" s="84"/>
    </row>
    <row r="51" spans="1:15" ht="12" customHeight="1">
      <c r="A51" s="83"/>
      <c r="O51" s="84"/>
    </row>
    <row r="52" spans="1:15" ht="12" customHeight="1">
      <c r="A52" s="83"/>
      <c r="O52" s="84"/>
    </row>
    <row r="53" spans="1:15" ht="12" customHeight="1">
      <c r="A53" s="83"/>
      <c r="O53" s="84"/>
    </row>
    <row r="54" spans="1:15" ht="36" customHeight="1">
      <c r="A54" s="83"/>
      <c r="O54" s="84"/>
    </row>
    <row r="55" spans="1:15" ht="12" customHeight="1">
      <c r="A55" s="83"/>
      <c r="O55" s="84"/>
    </row>
    <row r="56" spans="1:15" ht="12" customHeight="1">
      <c r="A56" s="83"/>
      <c r="I56" s="46"/>
      <c r="J56" s="4"/>
      <c r="K56" s="3"/>
      <c r="L56" s="3"/>
      <c r="O56" s="84"/>
    </row>
    <row r="57" spans="1:15" ht="12" customHeight="1">
      <c r="A57" s="83"/>
      <c r="I57" s="46"/>
      <c r="J57" s="4"/>
      <c r="K57" s="3"/>
      <c r="L57" s="3"/>
      <c r="O57" s="84"/>
    </row>
    <row r="58" spans="1:15" ht="12" customHeight="1">
      <c r="A58" s="83"/>
      <c r="I58" s="46"/>
      <c r="J58" s="4"/>
      <c r="K58" s="3"/>
      <c r="L58" s="3"/>
      <c r="O58" s="84"/>
    </row>
    <row r="59" spans="1:15" ht="12" customHeight="1">
      <c r="A59" s="83"/>
      <c r="I59" s="46"/>
      <c r="J59" s="4"/>
      <c r="K59" s="3"/>
      <c r="L59" s="3"/>
      <c r="O59" s="84"/>
    </row>
    <row r="60" spans="1:15" ht="12" customHeight="1">
      <c r="A60" s="83"/>
      <c r="I60" s="49"/>
      <c r="J60" s="4"/>
      <c r="K60" s="3"/>
      <c r="L60" s="3"/>
      <c r="O60" s="84"/>
    </row>
    <row r="61" spans="1:15" ht="12" customHeight="1">
      <c r="A61" s="83"/>
      <c r="B61" s="36" t="s">
        <v>50</v>
      </c>
      <c r="I61" s="49"/>
      <c r="J61" s="4"/>
      <c r="K61" s="3"/>
      <c r="L61" s="3"/>
      <c r="O61" s="84"/>
    </row>
    <row r="62" spans="1:15" ht="12" customHeight="1">
      <c r="A62" s="83"/>
      <c r="B62" s="55" t="s">
        <v>255</v>
      </c>
      <c r="I62" s="49"/>
      <c r="J62" s="3"/>
      <c r="K62" s="3"/>
      <c r="L62" s="3"/>
      <c r="O62" s="84"/>
    </row>
    <row r="63" spans="1:15" ht="12" customHeight="1">
      <c r="A63" s="83"/>
      <c r="B63" s="55" t="s">
        <v>257</v>
      </c>
      <c r="I63" s="49"/>
      <c r="J63" s="3"/>
      <c r="K63" s="3"/>
      <c r="L63" s="3"/>
      <c r="O63" s="84"/>
    </row>
    <row r="64" spans="1:15" ht="12" customHeight="1">
      <c r="A64" s="83"/>
      <c r="B64" s="55" t="s">
        <v>1</v>
      </c>
      <c r="I64" s="49"/>
      <c r="J64" s="3"/>
      <c r="K64" s="3"/>
      <c r="L64" s="3"/>
      <c r="O64" s="84"/>
    </row>
    <row r="65" spans="1:15" ht="12" customHeight="1">
      <c r="A65" s="83"/>
      <c r="B65" s="36" t="s">
        <v>70</v>
      </c>
      <c r="I65" s="49"/>
      <c r="J65" s="3"/>
      <c r="K65" s="3"/>
      <c r="L65" s="3"/>
      <c r="O65" s="84"/>
    </row>
    <row r="66" spans="1:15" ht="12" customHeight="1" thickBot="1">
      <c r="A66" s="88"/>
      <c r="B66" s="89"/>
      <c r="C66" s="89"/>
      <c r="D66" s="89"/>
      <c r="E66" s="89" t="s">
        <v>26</v>
      </c>
      <c r="F66" s="89"/>
      <c r="G66" s="89"/>
      <c r="H66" s="89"/>
      <c r="I66" s="90"/>
      <c r="J66" s="5"/>
      <c r="K66" s="91"/>
      <c r="L66" s="91"/>
      <c r="M66" s="89"/>
      <c r="N66" s="89"/>
      <c r="O66" s="92"/>
    </row>
  </sheetData>
  <mergeCells count="9">
    <mergeCell ref="A1:O1"/>
    <mergeCell ref="H27:I27"/>
    <mergeCell ref="D23:F23"/>
    <mergeCell ref="D19:F19"/>
    <mergeCell ref="D20:F20"/>
    <mergeCell ref="D18:F18"/>
    <mergeCell ref="K2:M2"/>
    <mergeCell ref="A23:C24"/>
    <mergeCell ref="A18:C18"/>
  </mergeCells>
  <phoneticPr fontId="6" type="noConversion"/>
  <printOptions horizontalCentered="1"/>
  <pageMargins left="0.35433070866141736" right="0.35433070866141736" top="0.84" bottom="0.78740157480314965" header="0.56999999999999995" footer="0.51181102362204722"/>
  <pageSetup paperSize="9" scale="83" orientation="portrait" r:id="rId1"/>
  <headerFooter alignWithMargins="0">
    <oddFooter>&amp;C&amp;"Courier New,보통"&amp;9Kyung Chang Precision Ind.Co.,Ltd&amp;R&amp;"Courier New,보통"&amp;8A4(210×297)mm</oddFoot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8626E-7BAE-4ECF-9457-E12B232D2737}">
  <dimension ref="A1:H6"/>
  <sheetViews>
    <sheetView showGridLines="0" workbookViewId="0">
      <selection activeCell="A2" sqref="A1:IV65536"/>
    </sheetView>
  </sheetViews>
  <sheetFormatPr defaultRowHeight="20.100000000000001" customHeight="1"/>
  <cols>
    <col min="1" max="1" width="14.33203125" style="75" customWidth="1"/>
    <col min="2" max="2" width="9.5546875" style="75" customWidth="1"/>
    <col min="3" max="3" width="10" style="113" customWidth="1"/>
    <col min="4" max="4" width="14.44140625" style="75" customWidth="1"/>
    <col min="5" max="5" width="12.5546875" style="75" customWidth="1"/>
    <col min="6" max="6" width="9.77734375" style="75" customWidth="1"/>
    <col min="7" max="7" width="8.88671875" style="75"/>
    <col min="8" max="8" width="16.88671875" style="75" customWidth="1"/>
    <col min="9" max="16384" width="8.88671875" style="75"/>
  </cols>
  <sheetData>
    <row r="1" spans="1:8" ht="23.1" customHeight="1">
      <c r="A1" s="122" t="str">
        <f>MASTER!B2</f>
        <v>E3870015336A0</v>
      </c>
      <c r="B1" s="123">
        <f>VLOOKUP(A1,MASTER!$B$2:$N$16,2,FALSE)</f>
        <v>14400</v>
      </c>
      <c r="C1" s="212">
        <f>VLOOKUP(A1,MASTER!$B$2:$N$16,10,FALSE)</f>
        <v>0.46529999999999999</v>
      </c>
      <c r="D1" s="124">
        <f>B1*C1</f>
        <v>6700.32</v>
      </c>
      <c r="E1" s="145">
        <f>VLOOKUP(A1,MASTER!$B$2:$N$16,11,FALSE)</f>
        <v>2550001216</v>
      </c>
      <c r="F1" s="142">
        <f>VLOOKUP(A1,MASTER!$B$2:$N$16,3,FALSE)</f>
        <v>60</v>
      </c>
      <c r="H1" s="107"/>
    </row>
    <row r="2" spans="1:8" ht="23.1" customHeight="1">
      <c r="A2" s="122" t="str">
        <f>MASTER!B3</f>
        <v>E3870015347A0</v>
      </c>
      <c r="B2" s="123">
        <f>VLOOKUP(A2,MASTER!$B$2:$N$16,2,FALSE)</f>
        <v>14400</v>
      </c>
      <c r="C2" s="212">
        <f>VLOOKUP(A2,MASTER!$B$2:$N$16,10,FALSE)</f>
        <v>0.34820000000000001</v>
      </c>
      <c r="D2" s="124">
        <f>B2*C2</f>
        <v>5014.08</v>
      </c>
      <c r="E2" s="145">
        <f>VLOOKUP(A2,MASTER!$B$2:$N$16,11,FALSE)</f>
        <v>2550001217</v>
      </c>
      <c r="F2" s="142">
        <f>VLOOKUP(A2,MASTER!$B$2:$N$16,3,FALSE)</f>
        <v>60</v>
      </c>
      <c r="H2" s="107"/>
    </row>
    <row r="3" spans="1:8" ht="19.5" customHeight="1">
      <c r="A3" s="125" t="s">
        <v>66</v>
      </c>
      <c r="B3" s="123">
        <f>SUM(B1:B2)</f>
        <v>28800</v>
      </c>
      <c r="C3" s="126"/>
      <c r="D3" s="127">
        <f>SUM(D1:D2)</f>
        <v>11714.4</v>
      </c>
      <c r="E3" s="144"/>
      <c r="F3" s="128"/>
    </row>
    <row r="4" spans="1:8" ht="20.100000000000001" customHeight="1">
      <c r="A4" s="108"/>
      <c r="B4" s="109"/>
      <c r="C4" s="110"/>
    </row>
    <row r="5" spans="1:8" ht="20.100000000000001" customHeight="1">
      <c r="A5" s="111"/>
      <c r="B5" s="109"/>
      <c r="C5" s="110"/>
    </row>
    <row r="6" spans="1:8" ht="20.100000000000001" customHeight="1">
      <c r="A6" s="112"/>
      <c r="B6" s="109"/>
      <c r="C6" s="110"/>
    </row>
  </sheetData>
  <phoneticPr fontId="6" type="noConversion"/>
  <printOptions horizontalCentered="1"/>
  <pageMargins left="0.23" right="0.68" top="0.77" bottom="1" header="0.5" footer="0.5"/>
  <pageSetup paperSize="9"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A22A0-B1A4-4417-9182-81CF0ADE22BD}">
  <dimension ref="A1:K9"/>
  <sheetViews>
    <sheetView showGridLines="0" workbookViewId="0">
      <selection activeCell="A2" sqref="A1:IV65536"/>
    </sheetView>
  </sheetViews>
  <sheetFormatPr defaultRowHeight="13.5"/>
  <cols>
    <col min="1" max="1" width="14.44140625" style="4" customWidth="1"/>
    <col min="2" max="2" width="9.6640625" style="80" customWidth="1"/>
    <col min="3" max="3" width="7.5546875" style="80" bestFit="1" customWidth="1"/>
    <col min="4" max="4" width="12.21875" style="4" customWidth="1"/>
    <col min="5" max="5" width="12" style="80" customWidth="1"/>
    <col min="6" max="6" width="8.33203125" style="4" customWidth="1"/>
    <col min="7" max="7" width="13.44140625" style="117" customWidth="1"/>
    <col min="8" max="8" width="5.5546875" style="80" bestFit="1" customWidth="1"/>
    <col min="9" max="9" width="4" style="4" customWidth="1"/>
    <col min="10" max="10" width="3.21875" style="4" customWidth="1"/>
    <col min="11" max="11" width="15.33203125" style="117" customWidth="1"/>
    <col min="12" max="16384" width="8.88671875" style="4"/>
  </cols>
  <sheetData>
    <row r="1" spans="1:11" ht="24.95" customHeight="1">
      <c r="A1" s="122" t="str">
        <f>MASTER!B2</f>
        <v>E3870015336A0</v>
      </c>
      <c r="B1" s="129">
        <f>VLOOKUP(A1,MASTER!$B$2:$N$16,2,FALSE)</f>
        <v>14400</v>
      </c>
      <c r="C1" s="129">
        <f>VLOOKUP(A1,MASTER!$B$2:$N$16,6,FALSE)</f>
        <v>72</v>
      </c>
      <c r="D1" s="130">
        <f>B1*K1</f>
        <v>388.8</v>
      </c>
      <c r="E1" s="131">
        <f>D1*1.023</f>
        <v>397.74239999999998</v>
      </c>
      <c r="F1" s="130">
        <f>MASTER!Q2</f>
        <v>1.21</v>
      </c>
      <c r="G1" s="144">
        <f>VLOOKUP(A1,MASTER!$B$2:$N$16,11,FALSE)</f>
        <v>2550001216</v>
      </c>
      <c r="H1" s="129">
        <f>VLOOKUP(A1,MASTER!$B$2:$N$16,3,FALSE)</f>
        <v>60</v>
      </c>
      <c r="K1" s="115">
        <f>VLOOKUP(A1,MASTER!$B$2:$N$16,12,FALSE)</f>
        <v>2.7E-2</v>
      </c>
    </row>
    <row r="2" spans="1:11" ht="24" customHeight="1">
      <c r="A2" s="122" t="str">
        <f>MASTER!B3</f>
        <v>E3870015347A0</v>
      </c>
      <c r="B2" s="129">
        <f>VLOOKUP(A2,MASTER!$B$2:$N$16,2,FALSE)</f>
        <v>14400</v>
      </c>
      <c r="C2" s="129">
        <f>VLOOKUP(A2,MASTER!$B$2:$N$16,6,FALSE)</f>
        <v>72</v>
      </c>
      <c r="D2" s="130">
        <f>B2*K2</f>
        <v>360</v>
      </c>
      <c r="E2" s="131">
        <f>D2*1.023</f>
        <v>368.28</v>
      </c>
      <c r="F2" s="130">
        <f>MASTER!Q3</f>
        <v>1.21</v>
      </c>
      <c r="G2" s="144">
        <f>VLOOKUP(A2,MASTER!$B$2:$N$16,11,FALSE)</f>
        <v>2550001217</v>
      </c>
      <c r="H2" s="129">
        <f>VLOOKUP(A2,MASTER!$B$2:$N$16,3,FALSE)</f>
        <v>60</v>
      </c>
      <c r="K2" s="115">
        <f>VLOOKUP(A2,MASTER!$B$2:$N$16,12,FALSE)</f>
        <v>2.5000000000000001E-2</v>
      </c>
    </row>
    <row r="3" spans="1:11" s="117" customFormat="1" ht="27" customHeight="1">
      <c r="A3" s="132" t="s">
        <v>32</v>
      </c>
      <c r="B3" s="133">
        <f>SUM(B1:B2)</f>
        <v>28800</v>
      </c>
      <c r="C3" s="133">
        <f>SUM(C1:C2)</f>
        <v>144</v>
      </c>
      <c r="D3" s="133">
        <f>SUM(D1:D2)</f>
        <v>748.8</v>
      </c>
      <c r="E3" s="133">
        <f>SUM(E1:E2)</f>
        <v>766.02239999999995</v>
      </c>
      <c r="F3" s="133">
        <f>SUM(F1:F2)</f>
        <v>2.42</v>
      </c>
      <c r="G3" s="133"/>
      <c r="H3" s="133"/>
      <c r="I3" s="119"/>
      <c r="J3" s="120"/>
      <c r="K3" s="119"/>
    </row>
    <row r="4" spans="1:11" ht="18" customHeight="1">
      <c r="A4" s="14"/>
      <c r="B4" s="76"/>
      <c r="C4" s="76"/>
      <c r="D4" s="14"/>
      <c r="E4" s="76"/>
      <c r="F4" s="14"/>
      <c r="G4" s="107"/>
      <c r="H4" s="76"/>
      <c r="I4" s="78"/>
      <c r="J4" s="79"/>
      <c r="K4" s="116"/>
    </row>
    <row r="5" spans="1:11">
      <c r="A5" s="14"/>
      <c r="B5" s="76"/>
      <c r="C5" s="76"/>
      <c r="D5" s="14"/>
      <c r="E5" s="76"/>
      <c r="F5" s="14"/>
      <c r="G5" s="107"/>
      <c r="H5" s="76"/>
      <c r="I5" s="78"/>
      <c r="J5" s="79"/>
      <c r="K5" s="116"/>
    </row>
    <row r="7" spans="1:11">
      <c r="E7" s="77" t="s">
        <v>33</v>
      </c>
      <c r="F7" s="75" t="s">
        <v>34</v>
      </c>
      <c r="G7" s="118" t="s">
        <v>35</v>
      </c>
    </row>
    <row r="8" spans="1:11">
      <c r="D8" s="4" t="s">
        <v>11</v>
      </c>
      <c r="E8" s="80">
        <v>1100</v>
      </c>
      <c r="F8" s="4">
        <v>1100</v>
      </c>
      <c r="G8" s="117">
        <v>1000</v>
      </c>
    </row>
    <row r="9" spans="1:11">
      <c r="E9" s="80">
        <f>E8/1000</f>
        <v>1.1000000000000001</v>
      </c>
      <c r="F9" s="4">
        <f>F8/1000</f>
        <v>1.1000000000000001</v>
      </c>
      <c r="G9" s="117">
        <f>G8/1000</f>
        <v>1</v>
      </c>
      <c r="K9" s="117">
        <f>E9*F9*G9</f>
        <v>1.2100000000000002</v>
      </c>
    </row>
  </sheetData>
  <phoneticPr fontId="6" type="noConversion"/>
  <pageMargins left="0.75" right="0.75" top="1" bottom="1" header="0.5" footer="0.5"/>
  <pageSetup paperSize="9" orientation="portrait" horizontalDpi="4294967292" verticalDpi="300" r:id="rId1"/>
  <headerFooter alignWithMargins="0">
    <oddHeader>&amp;A</oddHeader>
    <oddFooter>&amp;P 쪽</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6BE3E-EFD2-4CDA-B6E7-BF1D4D98509A}">
  <dimension ref="A1:K35"/>
  <sheetViews>
    <sheetView showGridLines="0" zoomScaleNormal="100" workbookViewId="0">
      <selection activeCell="L34" sqref="L34"/>
    </sheetView>
  </sheetViews>
  <sheetFormatPr defaultRowHeight="13.5"/>
  <cols>
    <col min="1" max="1" width="3.6640625" customWidth="1"/>
    <col min="2" max="2" width="11.33203125" style="14" customWidth="1"/>
    <col min="3" max="3" width="3.5546875" customWidth="1"/>
    <col min="4" max="4" width="1.5546875" style="2" customWidth="1"/>
    <col min="5" max="5" width="6" style="1" customWidth="1"/>
    <col min="6" max="6" width="11.88671875" style="15" customWidth="1"/>
    <col min="7" max="7" width="5.33203125" customWidth="1"/>
    <col min="8" max="8" width="12.21875" hidden="1" customWidth="1"/>
    <col min="9" max="11" width="0" hidden="1" customWidth="1"/>
  </cols>
  <sheetData>
    <row r="1" spans="1:11" ht="15.75" customHeight="1">
      <c r="A1" s="7"/>
      <c r="D1" s="7"/>
      <c r="E1" s="14"/>
      <c r="H1" s="14"/>
      <c r="I1" s="16"/>
      <c r="J1" s="17"/>
      <c r="K1" s="18"/>
    </row>
    <row r="2" spans="1:11" s="1" customFormat="1" ht="15" customHeight="1">
      <c r="A2" s="19"/>
      <c r="B2" s="14"/>
      <c r="C2" s="19">
        <v>1</v>
      </c>
      <c r="D2" s="194"/>
      <c r="E2" s="55" t="s">
        <v>24</v>
      </c>
      <c r="F2" s="195" t="str">
        <f>MASTER!B2</f>
        <v>E3870015336A0</v>
      </c>
      <c r="H2" s="14" t="s">
        <v>2</v>
      </c>
      <c r="I2" s="20"/>
      <c r="J2" s="21"/>
      <c r="K2" s="22"/>
    </row>
    <row r="3" spans="1:11" s="1" customFormat="1" ht="12" customHeight="1">
      <c r="A3" s="19">
        <v>1</v>
      </c>
      <c r="B3" s="26" t="str">
        <f>MASTER!B1</f>
        <v>P/N</v>
      </c>
      <c r="C3" s="19"/>
      <c r="D3" s="194"/>
      <c r="E3" s="55" t="s">
        <v>6</v>
      </c>
      <c r="F3" s="196">
        <f>VLOOKUP(F2,MASTER!$B$2:$M$16,5,FALSE)</f>
        <v>200</v>
      </c>
      <c r="H3" s="14" t="s">
        <v>3</v>
      </c>
      <c r="I3" s="20"/>
      <c r="J3" s="21"/>
      <c r="K3" s="22"/>
    </row>
    <row r="4" spans="1:11" s="1" customFormat="1" ht="12" customHeight="1">
      <c r="A4" s="19">
        <v>2</v>
      </c>
      <c r="B4" s="26" t="s">
        <v>67</v>
      </c>
      <c r="C4" s="19"/>
      <c r="D4" s="194"/>
      <c r="E4" s="55" t="s">
        <v>7</v>
      </c>
      <c r="F4" s="197">
        <f>VLOOKUP(F2,MASTER!$B$2:$M$16,6,FALSE)</f>
        <v>72</v>
      </c>
      <c r="H4" s="14" t="s">
        <v>4</v>
      </c>
      <c r="I4" s="20"/>
      <c r="J4" s="21"/>
      <c r="K4" s="22"/>
    </row>
    <row r="5" spans="1:11" s="1" customFormat="1" ht="12" customHeight="1">
      <c r="A5" s="19">
        <v>3</v>
      </c>
      <c r="B5" s="26" t="e">
        <f>MASTER!#REF!</f>
        <v>#REF!</v>
      </c>
      <c r="C5" s="19"/>
      <c r="D5" s="194"/>
      <c r="E5" s="55" t="s">
        <v>8</v>
      </c>
      <c r="F5" s="196"/>
      <c r="H5" s="14" t="s">
        <v>5</v>
      </c>
      <c r="I5" s="20"/>
      <c r="J5" s="21"/>
      <c r="K5" s="22"/>
    </row>
    <row r="6" spans="1:11" s="1" customFormat="1" ht="15" customHeight="1">
      <c r="A6" s="19"/>
      <c r="B6" s="14"/>
      <c r="C6" s="19">
        <v>1</v>
      </c>
      <c r="D6" s="194"/>
      <c r="E6" s="55" t="s">
        <v>24</v>
      </c>
      <c r="F6" s="195" t="s">
        <v>247</v>
      </c>
      <c r="H6" s="14" t="s">
        <v>2</v>
      </c>
      <c r="I6" s="20"/>
      <c r="J6" s="21"/>
      <c r="K6" s="22"/>
    </row>
    <row r="7" spans="1:11" s="1" customFormat="1" ht="12" customHeight="1">
      <c r="A7" s="19">
        <v>1</v>
      </c>
      <c r="B7" s="26">
        <f>MASTER!B5</f>
        <v>0</v>
      </c>
      <c r="C7" s="19"/>
      <c r="D7" s="194"/>
      <c r="E7" s="55" t="s">
        <v>6</v>
      </c>
      <c r="F7" s="196">
        <f>VLOOKUP(F6,MASTER!$B$2:$M$16,5,FALSE)</f>
        <v>200</v>
      </c>
      <c r="H7" s="14" t="s">
        <v>3</v>
      </c>
      <c r="I7" s="20"/>
      <c r="J7" s="21"/>
      <c r="K7" s="22"/>
    </row>
    <row r="8" spans="1:11" s="1" customFormat="1" ht="12" customHeight="1">
      <c r="A8" s="19">
        <v>2</v>
      </c>
      <c r="B8" s="26" t="s">
        <v>67</v>
      </c>
      <c r="C8" s="19"/>
      <c r="D8" s="194"/>
      <c r="E8" s="55" t="s">
        <v>7</v>
      </c>
      <c r="F8" s="197">
        <f>VLOOKUP(F6,MASTER!$B$2:$M$16,6,FALSE)</f>
        <v>72</v>
      </c>
      <c r="H8" s="14" t="s">
        <v>4</v>
      </c>
      <c r="I8" s="20"/>
      <c r="J8" s="21"/>
      <c r="K8" s="22"/>
    </row>
    <row r="9" spans="1:11" s="1" customFormat="1" ht="15.75" customHeight="1">
      <c r="A9" s="19">
        <v>3</v>
      </c>
      <c r="B9" s="26" t="e">
        <f>MASTER!#REF!</f>
        <v>#REF!</v>
      </c>
      <c r="C9" s="19"/>
      <c r="D9" s="194"/>
      <c r="E9" s="55" t="s">
        <v>8</v>
      </c>
      <c r="F9" s="196"/>
      <c r="H9" s="14" t="s">
        <v>5</v>
      </c>
      <c r="I9" s="20"/>
      <c r="J9" s="21"/>
      <c r="K9" s="22"/>
    </row>
    <row r="10" spans="1:11" s="1" customFormat="1" ht="12" customHeight="1">
      <c r="B10" s="26">
        <f>MASTER!B49</f>
        <v>0</v>
      </c>
      <c r="D10" s="266" t="s">
        <v>9</v>
      </c>
      <c r="E10" s="266"/>
      <c r="F10" s="266"/>
    </row>
    <row r="11" spans="1:11" s="1" customFormat="1">
      <c r="B11" s="14"/>
      <c r="D11" s="196" t="str">
        <f>"  TOTAL "&amp;MASTER!G19&amp;" PALLETS"</f>
        <v xml:space="preserve">  TOTAL 2 PALLETS</v>
      </c>
      <c r="E11" s="194"/>
      <c r="F11" s="196"/>
    </row>
    <row r="12" spans="1:11">
      <c r="D12" s="196" t="str">
        <f>"( TOTAL "&amp;MASTER!G18&amp;" CARTONS)"</f>
        <v>( TOTAL 144 CARTONS)</v>
      </c>
      <c r="E12" s="194"/>
      <c r="F12" s="196"/>
      <c r="H12" s="27">
        <f>MASTER!G18</f>
        <v>144</v>
      </c>
    </row>
    <row r="14" spans="1:11" ht="15.75">
      <c r="E14" s="6"/>
      <c r="G14" s="1"/>
      <c r="H14" s="23"/>
    </row>
    <row r="15" spans="1:11" ht="15.75">
      <c r="C15" s="6"/>
      <c r="E15" s="23"/>
      <c r="G15" s="1"/>
      <c r="H15" s="23"/>
    </row>
    <row r="16" spans="1:11" ht="15.75">
      <c r="C16" s="6"/>
      <c r="E16" s="23"/>
      <c r="G16" s="1"/>
      <c r="H16" s="23"/>
    </row>
    <row r="17" spans="3:8" ht="15.75">
      <c r="C17" s="6"/>
      <c r="E17" s="23"/>
      <c r="F17" s="122"/>
      <c r="G17" s="1"/>
      <c r="H17" s="23"/>
    </row>
    <row r="18" spans="3:8" ht="15.75">
      <c r="C18" s="6"/>
      <c r="E18" s="23"/>
      <c r="F18" s="122"/>
      <c r="G18" s="1"/>
      <c r="H18" s="23"/>
    </row>
    <row r="19" spans="3:8" ht="15.75">
      <c r="C19" s="6"/>
      <c r="E19" s="23"/>
      <c r="F19" s="122"/>
      <c r="G19" s="1"/>
      <c r="H19" s="23"/>
    </row>
    <row r="20" spans="3:8" ht="15.75">
      <c r="C20" s="6"/>
      <c r="E20" s="23"/>
      <c r="F20" s="122"/>
      <c r="G20" s="1"/>
      <c r="H20" s="23"/>
    </row>
    <row r="21" spans="3:8" ht="15.75">
      <c r="C21" s="6"/>
      <c r="E21" s="23"/>
      <c r="F21" s="122"/>
      <c r="G21" s="1"/>
      <c r="H21" s="23"/>
    </row>
    <row r="22" spans="3:8" ht="15.75">
      <c r="C22" s="6"/>
      <c r="E22" s="23"/>
      <c r="F22" s="122"/>
      <c r="G22" s="1"/>
      <c r="H22" s="23"/>
    </row>
    <row r="23" spans="3:8" ht="15.75">
      <c r="C23" s="6"/>
      <c r="E23" s="23"/>
      <c r="F23" s="122"/>
      <c r="G23" s="1"/>
      <c r="H23" s="23"/>
    </row>
    <row r="24" spans="3:8" ht="15.75">
      <c r="C24" s="6"/>
      <c r="E24" s="23"/>
      <c r="F24" s="122"/>
      <c r="G24" s="1"/>
      <c r="H24" s="23"/>
    </row>
    <row r="25" spans="3:8" ht="15.75">
      <c r="F25" s="122"/>
    </row>
    <row r="26" spans="3:8" ht="15.75">
      <c r="C26" s="6"/>
      <c r="E26" s="23"/>
      <c r="F26" s="122"/>
      <c r="G26" s="1"/>
      <c r="H26" s="23"/>
    </row>
    <row r="27" spans="3:8" ht="15.75">
      <c r="C27" s="6"/>
      <c r="E27" s="23"/>
      <c r="F27" s="122"/>
      <c r="G27" s="1"/>
      <c r="H27" s="23"/>
    </row>
    <row r="28" spans="3:8" ht="15">
      <c r="C28" s="3"/>
      <c r="E28" s="24"/>
      <c r="H28" s="23"/>
    </row>
    <row r="29" spans="3:8">
      <c r="H29" s="23"/>
    </row>
    <row r="30" spans="3:8">
      <c r="H30" s="23"/>
    </row>
    <row r="31" spans="3:8">
      <c r="H31" s="23"/>
    </row>
    <row r="32" spans="3:8">
      <c r="H32" s="23"/>
    </row>
    <row r="33" spans="8:8">
      <c r="H33" s="25"/>
    </row>
    <row r="34" spans="8:8">
      <c r="H34" s="25"/>
    </row>
    <row r="35" spans="8:8">
      <c r="H35" s="25"/>
    </row>
  </sheetData>
  <mergeCells count="1">
    <mergeCell ref="D10:F10"/>
  </mergeCells>
  <phoneticPr fontId="6" type="noConversion"/>
  <pageMargins left="0.75" right="0.75" top="1" bottom="1" header="0.5" footer="0.5"/>
  <pageSetup paperSize="9" orientation="portrait" horizontalDpi="4294967292"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592E3-F158-4347-8571-99776F284B3D}">
  <dimension ref="B2:C37"/>
  <sheetViews>
    <sheetView workbookViewId="0">
      <selection activeCell="B3" sqref="B3"/>
    </sheetView>
  </sheetViews>
  <sheetFormatPr defaultRowHeight="14.25"/>
  <cols>
    <col min="1" max="1" width="8.88671875" style="8"/>
    <col min="2" max="2" width="12.6640625" style="8" bestFit="1" customWidth="1"/>
    <col min="3" max="16384" width="8.88671875" style="8"/>
  </cols>
  <sheetData>
    <row r="2" spans="2:3">
      <c r="C2" s="8" t="s">
        <v>62</v>
      </c>
    </row>
    <row r="3" spans="2:3">
      <c r="B3" s="8" t="s">
        <v>85</v>
      </c>
      <c r="C3" s="8">
        <v>576</v>
      </c>
    </row>
    <row r="4" spans="2:3">
      <c r="B4" s="8" t="s">
        <v>86</v>
      </c>
      <c r="C4" s="8">
        <v>360</v>
      </c>
    </row>
    <row r="5" spans="2:3">
      <c r="B5" s="8" t="s">
        <v>87</v>
      </c>
      <c r="C5" s="8">
        <v>432</v>
      </c>
    </row>
    <row r="6" spans="2:3">
      <c r="B6" s="8" t="s">
        <v>88</v>
      </c>
      <c r="C6" s="8">
        <v>720</v>
      </c>
    </row>
    <row r="7" spans="2:3">
      <c r="B7" s="8" t="s">
        <v>89</v>
      </c>
      <c r="C7" s="8">
        <v>432</v>
      </c>
    </row>
    <row r="8" spans="2:3">
      <c r="B8" s="8" t="s">
        <v>65</v>
      </c>
      <c r="C8" s="8">
        <v>900</v>
      </c>
    </row>
    <row r="9" spans="2:3">
      <c r="B9" s="8" t="s">
        <v>90</v>
      </c>
      <c r="C9" s="8">
        <v>540</v>
      </c>
    </row>
    <row r="10" spans="2:3">
      <c r="B10" s="8" t="s">
        <v>91</v>
      </c>
      <c r="C10" s="8">
        <v>360</v>
      </c>
    </row>
    <row r="11" spans="2:3">
      <c r="B11" s="8" t="s">
        <v>92</v>
      </c>
      <c r="C11" s="8">
        <v>864</v>
      </c>
    </row>
    <row r="12" spans="2:3">
      <c r="B12" s="8" t="s">
        <v>93</v>
      </c>
      <c r="C12" s="8">
        <v>144</v>
      </c>
    </row>
    <row r="13" spans="2:3">
      <c r="B13" s="8" t="s">
        <v>94</v>
      </c>
      <c r="C13" s="8">
        <v>240</v>
      </c>
    </row>
    <row r="14" spans="2:3">
      <c r="B14" s="8" t="s">
        <v>95</v>
      </c>
      <c r="C14" s="8">
        <v>320</v>
      </c>
    </row>
    <row r="15" spans="2:3">
      <c r="B15" s="8" t="s">
        <v>96</v>
      </c>
      <c r="C15" s="8">
        <v>160</v>
      </c>
    </row>
    <row r="16" spans="2:3">
      <c r="B16" s="8" t="s">
        <v>68</v>
      </c>
      <c r="C16" s="8">
        <v>6840</v>
      </c>
    </row>
    <row r="17" spans="2:3">
      <c r="B17" s="8" t="s">
        <v>69</v>
      </c>
      <c r="C17" s="8">
        <v>750</v>
      </c>
    </row>
    <row r="18" spans="2:3">
      <c r="B18" s="8" t="s">
        <v>97</v>
      </c>
      <c r="C18" s="8">
        <v>1200</v>
      </c>
    </row>
    <row r="19" spans="2:3">
      <c r="B19" s="8" t="s">
        <v>79</v>
      </c>
      <c r="C19" s="8">
        <v>210</v>
      </c>
    </row>
    <row r="20" spans="2:3">
      <c r="B20" s="8" t="s">
        <v>72</v>
      </c>
      <c r="C20" s="8">
        <v>210</v>
      </c>
    </row>
    <row r="21" spans="2:3">
      <c r="B21" s="8" t="s">
        <v>77</v>
      </c>
      <c r="C21" s="8">
        <v>210</v>
      </c>
    </row>
    <row r="22" spans="2:3">
      <c r="B22" s="8" t="s">
        <v>78</v>
      </c>
      <c r="C22" s="8">
        <v>300</v>
      </c>
    </row>
    <row r="23" spans="2:3">
      <c r="B23" s="8" t="s">
        <v>73</v>
      </c>
      <c r="C23" s="8">
        <v>240</v>
      </c>
    </row>
    <row r="24" spans="2:3">
      <c r="B24" s="8" t="s">
        <v>238</v>
      </c>
      <c r="C24" s="8">
        <v>160</v>
      </c>
    </row>
    <row r="25" spans="2:3">
      <c r="B25" s="8" t="s">
        <v>82</v>
      </c>
      <c r="C25" s="8">
        <v>480</v>
      </c>
    </row>
    <row r="26" spans="2:3">
      <c r="B26" s="8" t="s">
        <v>81</v>
      </c>
      <c r="C26" s="8">
        <v>480</v>
      </c>
    </row>
    <row r="27" spans="2:3">
      <c r="B27" s="8" t="s">
        <v>84</v>
      </c>
      <c r="C27" s="8">
        <v>210</v>
      </c>
    </row>
    <row r="28" spans="2:3">
      <c r="B28" s="8" t="s">
        <v>237</v>
      </c>
      <c r="C28" s="8">
        <v>300</v>
      </c>
    </row>
    <row r="29" spans="2:3">
      <c r="B29" s="8" t="s">
        <v>176</v>
      </c>
      <c r="C29" s="8">
        <v>660</v>
      </c>
    </row>
    <row r="30" spans="2:3">
      <c r="B30" s="8" t="s">
        <v>177</v>
      </c>
      <c r="C30" s="8">
        <v>450</v>
      </c>
    </row>
    <row r="31" spans="2:3">
      <c r="B31" s="8" t="s">
        <v>74</v>
      </c>
      <c r="C31" s="8">
        <v>1296</v>
      </c>
    </row>
    <row r="32" spans="2:3">
      <c r="B32" s="8" t="s">
        <v>181</v>
      </c>
      <c r="C32" s="8">
        <v>288</v>
      </c>
    </row>
    <row r="33" spans="2:3">
      <c r="B33" s="8" t="s">
        <v>195</v>
      </c>
      <c r="C33" s="8">
        <v>750</v>
      </c>
    </row>
    <row r="34" spans="2:3">
      <c r="B34" s="8" t="s">
        <v>212</v>
      </c>
      <c r="C34" s="8">
        <v>1008</v>
      </c>
    </row>
    <row r="35" spans="2:3">
      <c r="B35" s="8" t="s">
        <v>227</v>
      </c>
      <c r="C35" s="8">
        <v>1620</v>
      </c>
    </row>
    <row r="36" spans="2:3">
      <c r="B36" s="8" t="s">
        <v>228</v>
      </c>
      <c r="C36" s="8">
        <v>540</v>
      </c>
    </row>
    <row r="37" spans="2:3">
      <c r="B37" s="8" t="s">
        <v>241</v>
      </c>
      <c r="C37" s="8">
        <v>540</v>
      </c>
    </row>
  </sheetData>
  <phoneticPr fontId="6" type="noConversion"/>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F7D24-809D-41EA-BFBC-E97005EF34AC}">
  <dimension ref="A1:AH40"/>
  <sheetViews>
    <sheetView showGridLines="0" view="pageBreakPreview" topLeftCell="B1" zoomScale="85" zoomScaleNormal="95" zoomScaleSheetLayoutView="85" workbookViewId="0">
      <selection activeCell="G23" sqref="G23"/>
    </sheetView>
  </sheetViews>
  <sheetFormatPr defaultRowHeight="14.25"/>
  <cols>
    <col min="1" max="1" width="4.88671875" style="19" customWidth="1"/>
    <col min="2" max="2" width="14.33203125" style="9" customWidth="1"/>
    <col min="3" max="3" width="7.6640625" style="8" customWidth="1"/>
    <col min="4" max="4" width="11.6640625" style="8" customWidth="1"/>
    <col min="5" max="5" width="9.88671875" style="8" customWidth="1"/>
    <col min="6" max="6" width="7.5546875" style="8" customWidth="1"/>
    <col min="7" max="7" width="5.88671875" style="8" customWidth="1"/>
    <col min="8" max="8" width="9.21875" style="12" customWidth="1"/>
    <col min="9" max="9" width="3.21875" style="7" hidden="1" customWidth="1"/>
    <col min="10" max="10" width="4.5546875" style="8" hidden="1" customWidth="1"/>
    <col min="11" max="11" width="11.44140625" style="13" customWidth="1"/>
    <col min="12" max="12" width="11.33203125" style="7" customWidth="1"/>
    <col min="13" max="13" width="8.109375" style="8" customWidth="1"/>
    <col min="14" max="14" width="11.33203125" style="8" customWidth="1"/>
    <col min="15" max="15" width="11.21875" style="8" customWidth="1"/>
    <col min="16" max="16" width="9.33203125" style="8" customWidth="1"/>
    <col min="17" max="17" width="9.6640625" style="8" customWidth="1"/>
    <col min="18" max="30" width="8.88671875" style="8"/>
    <col min="31" max="33" width="11" style="8" customWidth="1"/>
    <col min="34" max="16384" width="8.88671875" style="8"/>
  </cols>
  <sheetData>
    <row r="1" spans="1:17" s="32" customFormat="1" ht="24.75" customHeight="1">
      <c r="A1" s="28" t="s">
        <v>14</v>
      </c>
      <c r="B1" s="29" t="s">
        <v>15</v>
      </c>
      <c r="C1" s="28" t="s">
        <v>16</v>
      </c>
      <c r="D1" s="28" t="s">
        <v>17</v>
      </c>
      <c r="E1" s="28" t="s">
        <v>18</v>
      </c>
      <c r="F1" s="56" t="s">
        <v>29</v>
      </c>
      <c r="G1" s="28" t="s">
        <v>19</v>
      </c>
      <c r="H1" s="30" t="s">
        <v>20</v>
      </c>
      <c r="I1" s="28"/>
      <c r="J1" s="28"/>
      <c r="K1" s="31" t="s">
        <v>21</v>
      </c>
      <c r="L1" s="28" t="s">
        <v>22</v>
      </c>
      <c r="M1" s="29" t="s">
        <v>23</v>
      </c>
      <c r="N1" s="29" t="s">
        <v>30</v>
      </c>
      <c r="O1" s="29" t="s">
        <v>62</v>
      </c>
      <c r="P1" s="29" t="s">
        <v>63</v>
      </c>
      <c r="Q1" s="29" t="s">
        <v>64</v>
      </c>
    </row>
    <row r="2" spans="1:17" s="134" customFormat="1" ht="20.25" customHeight="1">
      <c r="A2" s="213">
        <v>1</v>
      </c>
      <c r="B2" s="135" t="s">
        <v>258</v>
      </c>
      <c r="C2" s="136">
        <v>14400</v>
      </c>
      <c r="D2" s="136">
        <v>60</v>
      </c>
      <c r="E2" s="136"/>
      <c r="F2" s="137">
        <v>200</v>
      </c>
      <c r="G2" s="138">
        <f>C2/F2</f>
        <v>72</v>
      </c>
      <c r="H2" s="137">
        <v>6080</v>
      </c>
      <c r="I2" s="137"/>
      <c r="J2" s="137"/>
      <c r="K2" s="143">
        <v>0.46529999999999999</v>
      </c>
      <c r="L2" s="137">
        <v>2550001216</v>
      </c>
      <c r="M2" s="136">
        <v>2.7E-2</v>
      </c>
      <c r="N2" s="140">
        <f>M2*C2</f>
        <v>388.8</v>
      </c>
      <c r="O2" s="141">
        <v>14400</v>
      </c>
      <c r="P2" s="141">
        <f>C2/O2</f>
        <v>1</v>
      </c>
      <c r="Q2" s="141">
        <f>P2*1.21</f>
        <v>1.21</v>
      </c>
    </row>
    <row r="3" spans="1:17" s="134" customFormat="1" ht="20.25" customHeight="1">
      <c r="A3" s="213">
        <v>2</v>
      </c>
      <c r="B3" s="135" t="s">
        <v>247</v>
      </c>
      <c r="C3" s="136">
        <v>14400</v>
      </c>
      <c r="D3" s="136">
        <v>60</v>
      </c>
      <c r="E3" s="136"/>
      <c r="F3" s="137">
        <v>200</v>
      </c>
      <c r="G3" s="138">
        <f>C3/F3</f>
        <v>72</v>
      </c>
      <c r="H3" s="137">
        <v>0</v>
      </c>
      <c r="I3" s="137"/>
      <c r="J3" s="137"/>
      <c r="K3" s="143">
        <v>0.34820000000000001</v>
      </c>
      <c r="L3" s="137">
        <v>2550001217</v>
      </c>
      <c r="M3" s="136">
        <v>2.5000000000000001E-2</v>
      </c>
      <c r="N3" s="140">
        <f>M3*C3</f>
        <v>360</v>
      </c>
      <c r="O3" s="141">
        <v>14400</v>
      </c>
      <c r="P3" s="141">
        <f>C3/O3</f>
        <v>1</v>
      </c>
      <c r="Q3" s="141">
        <f>P3*1.21</f>
        <v>1.21</v>
      </c>
    </row>
    <row r="4" spans="1:17" s="134" customFormat="1" ht="20.25" customHeight="1">
      <c r="A4" s="213">
        <v>3</v>
      </c>
      <c r="B4" s="135"/>
      <c r="C4" s="136"/>
      <c r="D4" s="136"/>
      <c r="E4" s="136"/>
      <c r="F4" s="137"/>
      <c r="G4" s="138"/>
      <c r="H4" s="139"/>
      <c r="I4" s="137"/>
      <c r="J4" s="137"/>
      <c r="K4" s="143"/>
      <c r="L4" s="137"/>
      <c r="M4" s="136"/>
      <c r="N4" s="140"/>
      <c r="O4" s="141"/>
      <c r="P4" s="141"/>
      <c r="Q4" s="141"/>
    </row>
    <row r="5" spans="1:17" s="134" customFormat="1" ht="20.25" customHeight="1">
      <c r="A5" s="213">
        <v>4</v>
      </c>
      <c r="B5" s="135"/>
      <c r="C5" s="136"/>
      <c r="D5" s="136"/>
      <c r="E5" s="136"/>
      <c r="F5" s="137"/>
      <c r="G5" s="138"/>
      <c r="H5" s="139"/>
      <c r="I5" s="137"/>
      <c r="J5" s="137"/>
      <c r="K5" s="143"/>
      <c r="L5" s="137"/>
      <c r="M5" s="136"/>
      <c r="N5" s="140"/>
      <c r="O5" s="141"/>
      <c r="P5" s="141"/>
      <c r="Q5" s="141"/>
    </row>
    <row r="6" spans="1:17" s="134" customFormat="1" ht="20.25" customHeight="1">
      <c r="A6" s="213">
        <v>5</v>
      </c>
      <c r="B6" s="135"/>
      <c r="C6" s="136"/>
      <c r="D6" s="136"/>
      <c r="E6" s="136"/>
      <c r="F6" s="137"/>
      <c r="G6" s="138"/>
      <c r="H6" s="139"/>
      <c r="I6" s="137"/>
      <c r="J6" s="137"/>
      <c r="K6" s="143"/>
      <c r="L6" s="137"/>
      <c r="M6" s="136"/>
      <c r="N6" s="140"/>
      <c r="O6" s="141"/>
      <c r="P6" s="141"/>
      <c r="Q6" s="141"/>
    </row>
    <row r="7" spans="1:17" s="134" customFormat="1" ht="20.25" customHeight="1">
      <c r="A7" s="213"/>
      <c r="B7" s="135"/>
      <c r="C7" s="136"/>
      <c r="D7" s="136"/>
      <c r="E7" s="136"/>
      <c r="F7" s="137"/>
      <c r="G7" s="138"/>
      <c r="H7" s="139"/>
      <c r="I7" s="137"/>
      <c r="J7" s="137"/>
      <c r="K7" s="143"/>
      <c r="L7" s="137"/>
      <c r="M7" s="136"/>
      <c r="N7" s="140"/>
      <c r="O7" s="141"/>
      <c r="P7" s="141"/>
      <c r="Q7" s="141"/>
    </row>
    <row r="8" spans="1:17" s="134" customFormat="1" ht="20.25" customHeight="1">
      <c r="A8" s="213">
        <v>6</v>
      </c>
      <c r="B8" s="135"/>
      <c r="C8" s="136"/>
      <c r="D8" s="136"/>
      <c r="E8" s="136"/>
      <c r="F8" s="137"/>
      <c r="G8" s="138"/>
      <c r="H8" s="139"/>
      <c r="I8" s="137"/>
      <c r="J8" s="137"/>
      <c r="K8" s="143"/>
      <c r="L8" s="137"/>
      <c r="M8" s="136"/>
      <c r="N8" s="140"/>
      <c r="O8" s="141"/>
      <c r="P8" s="141"/>
      <c r="Q8" s="141"/>
    </row>
    <row r="9" spans="1:17" s="134" customFormat="1" ht="20.25" customHeight="1">
      <c r="A9" s="213">
        <v>7</v>
      </c>
      <c r="B9" s="135"/>
      <c r="C9" s="136"/>
      <c r="D9" s="136"/>
      <c r="E9" s="136"/>
      <c r="F9" s="137"/>
      <c r="G9" s="138"/>
      <c r="H9" s="139"/>
      <c r="I9" s="137"/>
      <c r="J9" s="137"/>
      <c r="K9" s="143"/>
      <c r="L9" s="137"/>
      <c r="M9" s="136"/>
      <c r="N9" s="140"/>
      <c r="O9" s="141"/>
      <c r="P9" s="242"/>
      <c r="Q9" s="141"/>
    </row>
    <row r="10" spans="1:17" s="134" customFormat="1" ht="20.25" customHeight="1">
      <c r="A10" s="213">
        <v>8</v>
      </c>
      <c r="B10" s="135"/>
      <c r="C10" s="136"/>
      <c r="D10" s="136"/>
      <c r="E10" s="136"/>
      <c r="F10" s="137"/>
      <c r="G10" s="138"/>
      <c r="H10" s="139"/>
      <c r="I10" s="137"/>
      <c r="J10" s="137"/>
      <c r="K10" s="143"/>
      <c r="L10" s="137"/>
      <c r="M10" s="136"/>
      <c r="N10" s="140"/>
      <c r="O10" s="141"/>
      <c r="P10" s="141"/>
      <c r="Q10" s="141"/>
    </row>
    <row r="11" spans="1:17" s="134" customFormat="1" ht="20.25" customHeight="1">
      <c r="A11" s="213">
        <v>9</v>
      </c>
      <c r="B11" s="135"/>
      <c r="C11" s="136"/>
      <c r="D11" s="136"/>
      <c r="E11" s="136"/>
      <c r="F11" s="137"/>
      <c r="G11" s="138"/>
      <c r="H11" s="139"/>
      <c r="I11" s="137"/>
      <c r="J11" s="137"/>
      <c r="K11" s="143"/>
      <c r="L11" s="137"/>
      <c r="M11" s="136"/>
      <c r="N11" s="140"/>
      <c r="O11" s="141"/>
      <c r="P11" s="141"/>
      <c r="Q11" s="141"/>
    </row>
    <row r="12" spans="1:17" s="134" customFormat="1" ht="20.25" customHeight="1">
      <c r="A12" s="213">
        <v>10</v>
      </c>
      <c r="B12" s="135"/>
      <c r="C12" s="136"/>
      <c r="D12" s="136"/>
      <c r="E12" s="136"/>
      <c r="F12" s="137"/>
      <c r="G12" s="138"/>
      <c r="H12" s="139"/>
      <c r="I12" s="137"/>
      <c r="J12" s="137"/>
      <c r="K12" s="143"/>
      <c r="L12" s="137"/>
      <c r="M12" s="136"/>
      <c r="N12" s="140"/>
      <c r="O12" s="141"/>
      <c r="P12" s="141"/>
      <c r="Q12" s="141"/>
    </row>
    <row r="13" spans="1:17" s="134" customFormat="1" ht="20.25" customHeight="1">
      <c r="A13" s="213">
        <v>11</v>
      </c>
      <c r="B13" s="135"/>
      <c r="C13" s="136"/>
      <c r="D13" s="136"/>
      <c r="E13" s="136"/>
      <c r="F13" s="137"/>
      <c r="G13" s="138"/>
      <c r="H13" s="139"/>
      <c r="I13" s="137"/>
      <c r="J13" s="137"/>
      <c r="K13" s="143"/>
      <c r="L13" s="137"/>
      <c r="M13" s="136"/>
      <c r="N13" s="140"/>
      <c r="O13" s="141"/>
      <c r="P13" s="141"/>
      <c r="Q13" s="141"/>
    </row>
    <row r="14" spans="1:17" s="134" customFormat="1" ht="20.25" customHeight="1">
      <c r="A14" s="213">
        <v>12</v>
      </c>
      <c r="B14" s="135"/>
      <c r="C14" s="136"/>
      <c r="D14" s="136"/>
      <c r="E14" s="136"/>
      <c r="F14" s="137"/>
      <c r="G14" s="138"/>
      <c r="H14" s="139"/>
      <c r="I14" s="137"/>
      <c r="J14" s="137"/>
      <c r="K14" s="143"/>
      <c r="L14" s="137"/>
      <c r="M14" s="136"/>
      <c r="N14" s="140"/>
      <c r="O14" s="141"/>
      <c r="P14" s="141"/>
      <c r="Q14" s="141"/>
    </row>
    <row r="15" spans="1:17" s="134" customFormat="1" ht="18" customHeight="1">
      <c r="A15" s="213">
        <v>13</v>
      </c>
      <c r="B15" s="135"/>
      <c r="C15" s="136"/>
      <c r="D15" s="136"/>
      <c r="E15" s="136"/>
      <c r="F15" s="137"/>
      <c r="G15" s="138"/>
      <c r="H15" s="139"/>
      <c r="I15" s="137"/>
      <c r="J15" s="137"/>
      <c r="K15" s="143"/>
      <c r="L15" s="137"/>
      <c r="M15" s="136"/>
      <c r="N15" s="140"/>
      <c r="O15" s="141"/>
      <c r="P15" s="242"/>
      <c r="Q15" s="141"/>
    </row>
    <row r="16" spans="1:17" s="134" customFormat="1" ht="20.25" customHeight="1">
      <c r="A16" s="213">
        <v>14</v>
      </c>
      <c r="B16" s="135"/>
      <c r="C16" s="136"/>
      <c r="D16" s="136"/>
      <c r="E16" s="136"/>
      <c r="F16" s="137"/>
      <c r="G16" s="138"/>
      <c r="H16" s="139"/>
      <c r="I16" s="137"/>
      <c r="J16" s="137"/>
      <c r="K16" s="241"/>
      <c r="L16" s="137"/>
      <c r="M16" s="136"/>
      <c r="N16" s="140"/>
      <c r="O16" s="141"/>
      <c r="P16" s="141"/>
      <c r="Q16" s="141"/>
    </row>
    <row r="17" spans="1:34">
      <c r="C17" s="10">
        <f>SUM(C2:C16)</f>
        <v>28800</v>
      </c>
      <c r="D17" s="10"/>
      <c r="E17" s="10"/>
      <c r="F17" s="7"/>
      <c r="G17" s="11">
        <f>SUM(G2:G16)</f>
        <v>144</v>
      </c>
      <c r="M17" s="33" t="s">
        <v>13</v>
      </c>
      <c r="N17" s="114">
        <f>SUM(N2:N16)</f>
        <v>748.8</v>
      </c>
      <c r="O17" s="7"/>
      <c r="P17" s="8">
        <f>SUM(P2:P16)</f>
        <v>2</v>
      </c>
      <c r="Q17" s="8">
        <f>P17*1.21</f>
        <v>2.42</v>
      </c>
    </row>
    <row r="18" spans="1:34">
      <c r="A18" s="214"/>
      <c r="B18" s="57">
        <f>COUNTA(B2:B16)</f>
        <v>2</v>
      </c>
      <c r="C18" s="58"/>
      <c r="D18" s="58"/>
      <c r="E18" s="58"/>
      <c r="F18" s="57" t="s">
        <v>10</v>
      </c>
      <c r="G18" s="59">
        <f>ROUNDUP(G17,0)</f>
        <v>144</v>
      </c>
      <c r="H18" s="60"/>
      <c r="I18" s="57"/>
      <c r="J18" s="61"/>
      <c r="K18" s="62"/>
      <c r="L18" s="63" t="s">
        <v>31</v>
      </c>
      <c r="M18" s="61">
        <v>0.5</v>
      </c>
      <c r="N18" s="64">
        <f>N17+M19</f>
        <v>820.8</v>
      </c>
      <c r="O18" s="7"/>
    </row>
    <row r="19" spans="1:34">
      <c r="A19" s="215"/>
      <c r="B19" s="65"/>
      <c r="C19" s="66"/>
      <c r="D19" s="66"/>
      <c r="E19" s="66"/>
      <c r="F19" s="67" t="s">
        <v>11</v>
      </c>
      <c r="G19" s="68">
        <v>2</v>
      </c>
      <c r="H19" s="69"/>
      <c r="I19" s="70"/>
      <c r="J19" s="71"/>
      <c r="K19" s="72"/>
      <c r="L19" s="73" t="s">
        <v>12</v>
      </c>
      <c r="M19" s="71">
        <f>M18*G18</f>
        <v>72</v>
      </c>
      <c r="N19" s="70"/>
      <c r="O19" s="7"/>
    </row>
    <row r="20" spans="1:34">
      <c r="C20" s="10"/>
      <c r="D20" s="10"/>
      <c r="E20" s="10"/>
      <c r="F20" s="7"/>
      <c r="G20" s="11">
        <v>1</v>
      </c>
      <c r="N20" s="7"/>
      <c r="O20" s="7"/>
    </row>
    <row r="21" spans="1:34">
      <c r="B21" s="74"/>
      <c r="C21" s="7">
        <v>2</v>
      </c>
      <c r="D21" s="7">
        <v>3</v>
      </c>
      <c r="E21" s="7">
        <v>4</v>
      </c>
      <c r="F21" s="7">
        <v>5</v>
      </c>
      <c r="G21" s="7">
        <v>6</v>
      </c>
      <c r="H21" s="7">
        <v>7</v>
      </c>
      <c r="I21" s="7">
        <v>8</v>
      </c>
      <c r="J21" s="7">
        <v>9</v>
      </c>
      <c r="K21" s="7">
        <v>10</v>
      </c>
      <c r="L21" s="7">
        <v>11</v>
      </c>
      <c r="M21" s="7">
        <v>12</v>
      </c>
      <c r="N21" s="7">
        <v>13</v>
      </c>
      <c r="O21" s="7"/>
    </row>
    <row r="22" spans="1:34">
      <c r="C22" s="10"/>
      <c r="D22" s="10"/>
      <c r="E22" s="10"/>
      <c r="F22" s="7"/>
      <c r="G22" s="11"/>
      <c r="N22" s="7"/>
      <c r="O22" s="7"/>
    </row>
    <row r="23" spans="1:34">
      <c r="C23" s="10"/>
      <c r="D23" s="10"/>
      <c r="E23" s="10"/>
      <c r="F23" s="7"/>
      <c r="G23" s="11"/>
      <c r="N23" s="7"/>
      <c r="O23" s="7"/>
    </row>
    <row r="24" spans="1:34">
      <c r="C24" s="10"/>
      <c r="D24" s="10"/>
      <c r="E24" s="10"/>
      <c r="F24" s="7"/>
      <c r="G24" s="11"/>
      <c r="N24" s="7"/>
      <c r="O24" s="7"/>
    </row>
    <row r="25" spans="1:34">
      <c r="C25" s="10"/>
      <c r="D25" s="10"/>
      <c r="E25" s="10"/>
      <c r="F25" s="7"/>
      <c r="G25" s="11"/>
      <c r="N25" s="7"/>
      <c r="O25" s="7"/>
    </row>
    <row r="26" spans="1:34">
      <c r="C26" s="10"/>
      <c r="D26" s="10"/>
      <c r="E26" s="10"/>
      <c r="F26" s="7"/>
      <c r="G26" s="11"/>
      <c r="N26" s="7"/>
      <c r="O26" s="7"/>
    </row>
    <row r="27" spans="1:34">
      <c r="C27" s="10"/>
      <c r="D27" s="10"/>
      <c r="E27" s="10"/>
      <c r="F27" s="7"/>
      <c r="G27" s="11"/>
      <c r="N27" s="7"/>
      <c r="O27" s="7"/>
    </row>
    <row r="28" spans="1:34">
      <c r="C28" s="10"/>
      <c r="D28" s="10"/>
      <c r="E28" s="10"/>
      <c r="F28" s="7"/>
      <c r="G28" s="11"/>
      <c r="N28" s="7"/>
      <c r="O28" s="7"/>
    </row>
    <row r="29" spans="1:34" ht="16.5" customHeight="1">
      <c r="C29" s="10"/>
      <c r="D29" s="10"/>
      <c r="E29" s="10"/>
      <c r="F29" s="7"/>
      <c r="G29" s="11"/>
      <c r="N29" s="7"/>
      <c r="O29" s="7"/>
      <c r="AE29" s="171" t="s">
        <v>187</v>
      </c>
      <c r="AF29" s="171" t="s">
        <v>184</v>
      </c>
      <c r="AG29" s="171" t="s">
        <v>185</v>
      </c>
      <c r="AH29" s="171" t="s">
        <v>186</v>
      </c>
    </row>
    <row r="30" spans="1:34">
      <c r="AE30" s="172" t="s">
        <v>188</v>
      </c>
      <c r="AF30" s="170"/>
      <c r="AG30" s="170"/>
      <c r="AH30" s="170"/>
    </row>
    <row r="31" spans="1:34">
      <c r="N31" s="7"/>
    </row>
    <row r="40" spans="12:12">
      <c r="L40" s="7" t="s">
        <v>71</v>
      </c>
    </row>
  </sheetData>
  <phoneticPr fontId="6" type="noConversion"/>
  <pageMargins left="0.75" right="0.75" top="1" bottom="1" header="0.5" footer="0.5"/>
  <pageSetup paperSize="9" scale="65" orientation="landscape" verticalDpi="3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46293-7101-483E-9F77-77C127332F7A}">
  <sheetPr>
    <pageSetUpPr fitToPage="1"/>
  </sheetPr>
  <dimension ref="A1:K59"/>
  <sheetViews>
    <sheetView showGridLines="0" topLeftCell="A8" zoomScale="70" zoomScaleNormal="70" workbookViewId="0">
      <selection activeCell="O22" sqref="O22"/>
    </sheetView>
  </sheetViews>
  <sheetFormatPr defaultRowHeight="13.5"/>
  <cols>
    <col min="1" max="1" width="6.6640625" customWidth="1"/>
    <col min="2" max="2" width="21.5546875" customWidth="1"/>
    <col min="3" max="3" width="11.21875" bestFit="1" customWidth="1"/>
    <col min="4" max="4" width="7.88671875" customWidth="1"/>
    <col min="5" max="5" width="15.21875" customWidth="1"/>
    <col min="6" max="6" width="6.77734375" customWidth="1"/>
    <col min="7" max="7" width="14.88671875" customWidth="1"/>
    <col min="8" max="8" width="6.77734375" customWidth="1"/>
    <col min="9" max="9" width="16.77734375" customWidth="1"/>
    <col min="10" max="10" width="7" customWidth="1"/>
    <col min="11" max="11" width="10.88671875" customWidth="1"/>
  </cols>
  <sheetData>
    <row r="1" spans="1:11" ht="35.25" customHeight="1">
      <c r="A1" s="230" t="s">
        <v>232</v>
      </c>
      <c r="B1" s="173"/>
      <c r="C1" s="173"/>
      <c r="D1" s="174"/>
      <c r="E1" s="173"/>
      <c r="F1" s="173"/>
      <c r="G1" s="173"/>
      <c r="H1" s="173"/>
      <c r="I1" s="173"/>
      <c r="J1" s="173"/>
      <c r="K1" s="173"/>
    </row>
    <row r="2" spans="1:11" s="1" customFormat="1" ht="11.25" customHeight="1">
      <c r="A2" s="175"/>
      <c r="B2" s="144"/>
      <c r="C2" s="144"/>
      <c r="D2" s="144"/>
      <c r="E2" s="176"/>
      <c r="F2" s="176"/>
      <c r="G2" s="144"/>
      <c r="H2" s="144"/>
      <c r="I2" s="144"/>
      <c r="J2" s="144"/>
      <c r="K2" s="144"/>
    </row>
    <row r="3" spans="1:11" s="1" customFormat="1" ht="12.6" customHeight="1">
      <c r="A3" s="176"/>
      <c r="B3" s="144"/>
      <c r="C3" s="144"/>
      <c r="D3" s="144"/>
      <c r="E3" s="176"/>
      <c r="F3" s="176"/>
      <c r="G3" s="144"/>
      <c r="H3" s="144"/>
      <c r="I3" s="177"/>
      <c r="J3" s="144"/>
      <c r="K3" s="144"/>
    </row>
    <row r="4" spans="1:11" s="1" customFormat="1" ht="12.95" customHeight="1">
      <c r="A4" s="144"/>
      <c r="B4" s="144"/>
      <c r="C4" s="144"/>
      <c r="D4" s="144"/>
      <c r="E4" s="176"/>
      <c r="F4" s="176"/>
      <c r="G4" s="144"/>
      <c r="H4" s="144"/>
      <c r="I4" s="144"/>
      <c r="J4" s="144"/>
      <c r="K4" s="144"/>
    </row>
    <row r="5" spans="1:11" s="1" customFormat="1" ht="12.95" customHeight="1">
      <c r="A5" s="144"/>
      <c r="B5" s="144"/>
      <c r="C5" s="144"/>
      <c r="D5" s="144"/>
      <c r="E5" s="144"/>
      <c r="F5" s="144"/>
      <c r="G5" s="144"/>
      <c r="H5" s="144"/>
      <c r="I5" s="144"/>
      <c r="J5" s="144"/>
      <c r="K5" s="144"/>
    </row>
    <row r="6" spans="1:11" s="1" customFormat="1" ht="12.95" customHeight="1">
      <c r="A6" s="144"/>
      <c r="B6" s="144"/>
      <c r="C6" s="144"/>
      <c r="D6" s="144"/>
      <c r="E6" s="144"/>
      <c r="F6" s="144"/>
      <c r="G6" s="144"/>
      <c r="H6" s="144"/>
      <c r="I6" s="144"/>
      <c r="J6" s="144"/>
      <c r="K6" s="144"/>
    </row>
    <row r="7" spans="1:11" s="1" customFormat="1" ht="8.25" customHeight="1" thickBot="1">
      <c r="A7" s="178"/>
      <c r="B7" s="178"/>
      <c r="C7" s="178"/>
      <c r="D7" s="178"/>
      <c r="E7" s="178"/>
      <c r="F7" s="178"/>
      <c r="G7" s="178"/>
      <c r="H7" s="178"/>
      <c r="I7" s="178"/>
      <c r="J7" s="178"/>
      <c r="K7" s="178"/>
    </row>
    <row r="8" spans="1:11" s="1" customFormat="1" ht="19.5">
      <c r="A8" s="220" t="s">
        <v>230</v>
      </c>
      <c r="B8" s="221"/>
      <c r="C8" s="221"/>
      <c r="D8" s="222"/>
      <c r="E8" s="295" t="s">
        <v>189</v>
      </c>
      <c r="F8" s="296"/>
      <c r="G8" s="296"/>
      <c r="H8" s="297"/>
      <c r="I8" s="283" t="s">
        <v>194</v>
      </c>
      <c r="J8" s="284"/>
      <c r="K8" s="223" t="s">
        <v>193</v>
      </c>
    </row>
    <row r="9" spans="1:11" s="1" customFormat="1" ht="12.75" customHeight="1">
      <c r="A9" s="224"/>
      <c r="B9" s="221"/>
      <c r="C9" s="221"/>
      <c r="D9" s="222"/>
      <c r="E9" s="298" t="str">
        <f>PA!H2</f>
        <v>KCR26-06</v>
      </c>
      <c r="F9" s="299"/>
      <c r="G9" s="299"/>
      <c r="H9" s="300"/>
      <c r="I9" s="285">
        <f ca="1">TODAY()</f>
        <v>46168</v>
      </c>
      <c r="J9" s="286"/>
      <c r="K9" s="267"/>
    </row>
    <row r="10" spans="1:11" s="1" customFormat="1" ht="14.1" customHeight="1">
      <c r="A10" s="279" t="s">
        <v>231</v>
      </c>
      <c r="B10" s="280"/>
      <c r="C10" s="221"/>
      <c r="D10" s="222"/>
      <c r="E10" s="301"/>
      <c r="F10" s="302"/>
      <c r="G10" s="302"/>
      <c r="H10" s="303"/>
      <c r="I10" s="287"/>
      <c r="J10" s="288"/>
      <c r="K10" s="268"/>
    </row>
    <row r="11" spans="1:11" s="1" customFormat="1" ht="14.1" customHeight="1">
      <c r="A11" s="279"/>
      <c r="B11" s="280"/>
      <c r="C11" s="221"/>
      <c r="D11" s="222"/>
      <c r="E11" s="289" t="s">
        <v>190</v>
      </c>
      <c r="F11" s="290"/>
      <c r="G11" s="286"/>
      <c r="H11" s="225"/>
      <c r="I11" s="221"/>
      <c r="J11" s="225"/>
      <c r="K11" s="226"/>
    </row>
    <row r="12" spans="1:11" s="1" customFormat="1" ht="12.75" customHeight="1">
      <c r="A12" s="279"/>
      <c r="B12" s="280"/>
      <c r="C12" s="221"/>
      <c r="D12" s="222"/>
      <c r="E12" s="291"/>
      <c r="F12" s="292"/>
      <c r="G12" s="293"/>
      <c r="H12" s="225"/>
      <c r="I12" s="221"/>
      <c r="J12" s="225"/>
      <c r="K12" s="226"/>
    </row>
    <row r="13" spans="1:11" s="1" customFormat="1" ht="11.25" customHeight="1">
      <c r="A13" s="224"/>
      <c r="B13" s="221"/>
      <c r="C13" s="221"/>
      <c r="D13" s="222"/>
      <c r="E13" s="287"/>
      <c r="F13" s="294"/>
      <c r="G13" s="288"/>
      <c r="H13" s="227"/>
      <c r="I13" s="228"/>
      <c r="J13" s="227"/>
      <c r="K13" s="229"/>
    </row>
    <row r="14" spans="1:11" s="1" customFormat="1" ht="15.75" customHeight="1">
      <c r="A14" s="180"/>
      <c r="B14" s="181"/>
      <c r="C14" s="181"/>
      <c r="D14" s="181"/>
      <c r="E14" s="182"/>
      <c r="F14" s="182"/>
      <c r="G14" s="181"/>
      <c r="H14" s="181"/>
      <c r="I14" s="181"/>
      <c r="J14" s="181"/>
      <c r="K14" s="183"/>
    </row>
    <row r="15" spans="1:11" s="1" customFormat="1" ht="15.75" customHeight="1">
      <c r="A15" s="274" t="s">
        <v>213</v>
      </c>
      <c r="B15" s="275" t="s">
        <v>214</v>
      </c>
      <c r="C15" s="276" t="s">
        <v>215</v>
      </c>
      <c r="D15" s="275" t="s">
        <v>216</v>
      </c>
      <c r="E15" s="306" t="s">
        <v>220</v>
      </c>
      <c r="F15" s="307"/>
      <c r="G15" s="307"/>
      <c r="H15" s="307"/>
      <c r="I15" s="307"/>
      <c r="J15" s="308"/>
      <c r="K15" s="179"/>
    </row>
    <row r="16" spans="1:11" s="1" customFormat="1" ht="22.5" customHeight="1">
      <c r="A16" s="274"/>
      <c r="B16" s="275"/>
      <c r="C16" s="276"/>
      <c r="D16" s="275"/>
      <c r="E16" s="205" t="s">
        <v>217</v>
      </c>
      <c r="F16" s="277" t="s">
        <v>222</v>
      </c>
      <c r="G16" s="205" t="s">
        <v>218</v>
      </c>
      <c r="H16" s="277" t="s">
        <v>223</v>
      </c>
      <c r="I16" s="205" t="s">
        <v>219</v>
      </c>
      <c r="J16" s="277" t="s">
        <v>222</v>
      </c>
      <c r="K16" s="269" t="s">
        <v>224</v>
      </c>
    </row>
    <row r="17" spans="1:11" s="1" customFormat="1" ht="22.5" customHeight="1">
      <c r="A17" s="274"/>
      <c r="B17" s="275"/>
      <c r="C17" s="276"/>
      <c r="D17" s="275"/>
      <c r="E17" s="200"/>
      <c r="F17" s="278"/>
      <c r="G17" s="199"/>
      <c r="H17" s="278"/>
      <c r="I17" s="199"/>
      <c r="J17" s="278"/>
      <c r="K17" s="270"/>
    </row>
    <row r="18" spans="1:11" s="1" customFormat="1" ht="41.25" hidden="1" customHeight="1">
      <c r="A18" s="211">
        <v>1</v>
      </c>
      <c r="B18" s="218" t="s">
        <v>85</v>
      </c>
      <c r="C18" s="219">
        <f>MASTER!C2</f>
        <v>14400</v>
      </c>
      <c r="D18" s="216">
        <f>MASTER!P2</f>
        <v>1</v>
      </c>
      <c r="E18" s="199"/>
      <c r="F18" s="199"/>
      <c r="G18" s="199"/>
      <c r="H18" s="199"/>
      <c r="I18" s="199"/>
      <c r="J18" s="199"/>
      <c r="K18" s="209"/>
    </row>
    <row r="19" spans="1:11" s="1" customFormat="1" ht="41.25" customHeight="1">
      <c r="A19" s="211">
        <v>2</v>
      </c>
      <c r="B19" s="218" t="s">
        <v>179</v>
      </c>
      <c r="C19" s="219">
        <f>MASTER!C3</f>
        <v>14400</v>
      </c>
      <c r="D19" s="216">
        <f>MASTER!P3</f>
        <v>1</v>
      </c>
      <c r="E19" s="199"/>
      <c r="F19" s="199"/>
      <c r="G19" s="199"/>
      <c r="H19" s="199"/>
      <c r="I19" s="199"/>
      <c r="J19" s="199"/>
      <c r="K19" s="209"/>
    </row>
    <row r="20" spans="1:11" s="1" customFormat="1" ht="41.25" hidden="1" customHeight="1">
      <c r="A20" s="211">
        <v>1</v>
      </c>
      <c r="B20" s="218" t="s">
        <v>180</v>
      </c>
      <c r="C20" s="219">
        <f>MASTER!C4</f>
        <v>0</v>
      </c>
      <c r="D20" s="216">
        <f>MASTER!P4</f>
        <v>0</v>
      </c>
      <c r="E20" s="199"/>
      <c r="F20" s="199"/>
      <c r="G20" s="199"/>
      <c r="H20" s="199"/>
      <c r="I20" s="199"/>
      <c r="J20" s="199"/>
      <c r="K20" s="209"/>
    </row>
    <row r="21" spans="1:11" s="1" customFormat="1" ht="41.25" hidden="1" customHeight="1">
      <c r="A21" s="211">
        <v>4</v>
      </c>
      <c r="B21" s="218" t="s">
        <v>226</v>
      </c>
      <c r="C21" s="219">
        <f>MASTER!C5</f>
        <v>0</v>
      </c>
      <c r="D21" s="216">
        <f>MASTER!P5</f>
        <v>0</v>
      </c>
      <c r="E21" s="198"/>
      <c r="F21" s="198"/>
      <c r="G21" s="199"/>
      <c r="H21" s="199"/>
      <c r="I21" s="199"/>
      <c r="J21" s="199"/>
      <c r="K21" s="209"/>
    </row>
    <row r="22" spans="1:11" s="1" customFormat="1" ht="41.25" customHeight="1">
      <c r="A22" s="211">
        <v>2</v>
      </c>
      <c r="B22" s="218" t="s">
        <v>183</v>
      </c>
      <c r="C22" s="219">
        <f>MASTER!C6</f>
        <v>0</v>
      </c>
      <c r="D22" s="216">
        <f>MASTER!P6</f>
        <v>0</v>
      </c>
      <c r="E22" s="198"/>
      <c r="F22" s="198"/>
      <c r="G22" s="199"/>
      <c r="H22" s="199"/>
      <c r="I22" s="199"/>
      <c r="J22" s="199"/>
      <c r="K22" s="209"/>
    </row>
    <row r="23" spans="1:11" s="1" customFormat="1" ht="41.25" hidden="1" customHeight="1">
      <c r="A23" s="211"/>
      <c r="B23" s="218" t="s">
        <v>198</v>
      </c>
      <c r="C23" s="219">
        <f>MASTER!C7</f>
        <v>0</v>
      </c>
      <c r="D23" s="216">
        <f>MASTER!P7</f>
        <v>0</v>
      </c>
      <c r="E23" s="198"/>
      <c r="F23" s="198"/>
      <c r="G23" s="199"/>
      <c r="H23" s="199"/>
      <c r="I23" s="199"/>
      <c r="J23" s="199"/>
      <c r="K23" s="209"/>
    </row>
    <row r="24" spans="1:11" ht="41.25" customHeight="1">
      <c r="A24" s="211">
        <v>3</v>
      </c>
      <c r="B24" s="218" t="s">
        <v>98</v>
      </c>
      <c r="C24" s="219">
        <f>MASTER!C8</f>
        <v>0</v>
      </c>
      <c r="D24" s="216">
        <f>MASTER!P8</f>
        <v>0</v>
      </c>
      <c r="E24" s="198"/>
      <c r="F24" s="198"/>
      <c r="G24" s="198"/>
      <c r="H24" s="198"/>
      <c r="I24" s="198"/>
      <c r="J24" s="198"/>
      <c r="K24" s="210"/>
    </row>
    <row r="25" spans="1:11" ht="41.25" hidden="1" customHeight="1">
      <c r="A25" s="211">
        <v>4</v>
      </c>
      <c r="B25" s="218" t="s">
        <v>227</v>
      </c>
      <c r="C25" s="219">
        <f>MASTER!C9</f>
        <v>0</v>
      </c>
      <c r="D25" s="216">
        <f>MASTER!P9</f>
        <v>0</v>
      </c>
      <c r="E25" s="198"/>
      <c r="F25" s="198"/>
      <c r="G25" s="198"/>
      <c r="H25" s="198"/>
      <c r="I25" s="198"/>
      <c r="J25" s="198"/>
      <c r="K25" s="210"/>
    </row>
    <row r="26" spans="1:11" ht="41.25" customHeight="1">
      <c r="A26" s="211">
        <v>8</v>
      </c>
      <c r="B26" s="218" t="s">
        <v>200</v>
      </c>
      <c r="C26" s="219">
        <f>MASTER!C10</f>
        <v>0</v>
      </c>
      <c r="D26" s="216">
        <f>MASTER!P10</f>
        <v>0</v>
      </c>
      <c r="E26" s="198"/>
      <c r="F26" s="198"/>
      <c r="G26" s="198"/>
      <c r="H26" s="198"/>
      <c r="I26" s="198"/>
      <c r="J26" s="198"/>
      <c r="K26" s="210"/>
    </row>
    <row r="27" spans="1:11" ht="41.25" hidden="1" customHeight="1">
      <c r="A27" s="211">
        <v>9</v>
      </c>
      <c r="B27" s="218" t="s">
        <v>233</v>
      </c>
      <c r="C27" s="219">
        <f>MASTER!C11</f>
        <v>0</v>
      </c>
      <c r="D27" s="216">
        <f>MASTER!P11</f>
        <v>0</v>
      </c>
      <c r="E27" s="198"/>
      <c r="F27" s="198"/>
      <c r="G27" s="198"/>
      <c r="H27" s="198"/>
      <c r="I27" s="198"/>
      <c r="J27" s="198"/>
      <c r="K27" s="210"/>
    </row>
    <row r="28" spans="1:11" ht="41.25" hidden="1" customHeight="1">
      <c r="A28" s="211">
        <v>10</v>
      </c>
      <c r="B28" s="218" t="s">
        <v>202</v>
      </c>
      <c r="C28" s="219">
        <f>MASTER!C12</f>
        <v>0</v>
      </c>
      <c r="D28" s="216">
        <f>MASTER!P12</f>
        <v>0</v>
      </c>
      <c r="E28" s="198"/>
      <c r="F28" s="198"/>
      <c r="G28" s="198"/>
      <c r="H28" s="198"/>
      <c r="I28" s="198"/>
      <c r="J28" s="198"/>
      <c r="K28" s="210"/>
    </row>
    <row r="29" spans="1:11" ht="41.25" hidden="1" customHeight="1">
      <c r="A29" s="211">
        <v>11</v>
      </c>
      <c r="B29" s="218" t="s">
        <v>92</v>
      </c>
      <c r="C29" s="219">
        <f>MASTER!C13</f>
        <v>0</v>
      </c>
      <c r="D29" s="216">
        <f>MASTER!P13</f>
        <v>0</v>
      </c>
      <c r="E29" s="198"/>
      <c r="F29" s="198"/>
      <c r="G29" s="198"/>
      <c r="H29" s="198"/>
      <c r="I29" s="198"/>
      <c r="J29" s="198"/>
      <c r="K29" s="210"/>
    </row>
    <row r="30" spans="1:11" ht="41.25" hidden="1" customHeight="1">
      <c r="A30" s="211">
        <v>12</v>
      </c>
      <c r="B30" s="218" t="s">
        <v>171</v>
      </c>
      <c r="C30" s="219">
        <f>MASTER!C14</f>
        <v>0</v>
      </c>
      <c r="D30" s="216">
        <f>MASTER!P14</f>
        <v>0</v>
      </c>
      <c r="E30" s="198"/>
      <c r="F30" s="198"/>
      <c r="G30" s="198"/>
      <c r="H30" s="198"/>
      <c r="I30" s="198"/>
      <c r="J30" s="198"/>
      <c r="K30" s="210"/>
    </row>
    <row r="31" spans="1:11" ht="41.25" customHeight="1">
      <c r="A31" s="211">
        <v>5</v>
      </c>
      <c r="B31" s="218" t="s">
        <v>205</v>
      </c>
      <c r="C31" s="219">
        <f>MASTER!C15</f>
        <v>0</v>
      </c>
      <c r="D31" s="216">
        <f>MASTER!P15</f>
        <v>0</v>
      </c>
      <c r="E31" s="198"/>
      <c r="F31" s="198"/>
      <c r="G31" s="198"/>
      <c r="H31" s="198"/>
      <c r="I31" s="198"/>
      <c r="J31" s="198"/>
      <c r="K31" s="210"/>
    </row>
    <row r="32" spans="1:11" ht="41.25" hidden="1" customHeight="1">
      <c r="A32" s="211">
        <v>6</v>
      </c>
      <c r="B32" s="218" t="s">
        <v>206</v>
      </c>
      <c r="C32" s="219">
        <f>MASTER!C16</f>
        <v>0</v>
      </c>
      <c r="D32" s="216">
        <f>MASTER!P16</f>
        <v>0</v>
      </c>
      <c r="E32" s="198"/>
      <c r="F32" s="198"/>
      <c r="G32" s="198"/>
      <c r="H32" s="198"/>
      <c r="I32" s="198"/>
      <c r="J32" s="198"/>
      <c r="K32" s="210"/>
    </row>
    <row r="33" spans="1:11" ht="41.25" hidden="1" customHeight="1">
      <c r="A33" s="211">
        <v>7</v>
      </c>
      <c r="B33" s="218" t="s">
        <v>207</v>
      </c>
      <c r="C33" s="219" t="e">
        <f>MASTER!#REF!</f>
        <v>#REF!</v>
      </c>
      <c r="D33" s="216" t="e">
        <f>MASTER!#REF!</f>
        <v>#REF!</v>
      </c>
      <c r="E33" s="198"/>
      <c r="F33" s="198"/>
      <c r="G33" s="198"/>
      <c r="H33" s="198"/>
      <c r="I33" s="198"/>
      <c r="J33" s="198"/>
      <c r="K33" s="210"/>
    </row>
    <row r="34" spans="1:11" ht="41.25" hidden="1" customHeight="1">
      <c r="A34" s="211">
        <v>16</v>
      </c>
      <c r="B34" s="218" t="s">
        <v>79</v>
      </c>
      <c r="C34" s="219" t="e">
        <f>MASTER!#REF!</f>
        <v>#REF!</v>
      </c>
      <c r="D34" s="216" t="e">
        <f>MASTER!#REF!</f>
        <v>#REF!</v>
      </c>
      <c r="E34" s="198"/>
      <c r="F34" s="198"/>
      <c r="G34" s="198"/>
      <c r="H34" s="198"/>
      <c r="I34" s="198"/>
      <c r="J34" s="198"/>
      <c r="K34" s="210"/>
    </row>
    <row r="35" spans="1:11" ht="41.25" hidden="1" customHeight="1">
      <c r="A35" s="211">
        <v>17</v>
      </c>
      <c r="B35" s="218" t="s">
        <v>84</v>
      </c>
      <c r="C35" s="219" t="e">
        <f>MASTER!#REF!</f>
        <v>#REF!</v>
      </c>
      <c r="D35" s="216" t="e">
        <f>MASTER!#REF!</f>
        <v>#REF!</v>
      </c>
      <c r="E35" s="198"/>
      <c r="F35" s="198"/>
      <c r="G35" s="198"/>
      <c r="H35" s="198"/>
      <c r="I35" s="198"/>
      <c r="J35" s="198"/>
      <c r="K35" s="210"/>
    </row>
    <row r="36" spans="1:11" ht="41.25" hidden="1" customHeight="1">
      <c r="A36" s="211">
        <v>18</v>
      </c>
      <c r="B36" s="218" t="s">
        <v>173</v>
      </c>
      <c r="C36" s="219" t="e">
        <f>MASTER!#REF!</f>
        <v>#REF!</v>
      </c>
      <c r="D36" s="216" t="e">
        <f>MASTER!#REF!</f>
        <v>#REF!</v>
      </c>
      <c r="E36" s="198"/>
      <c r="F36" s="198"/>
      <c r="G36" s="198"/>
      <c r="H36" s="198"/>
      <c r="I36" s="198"/>
      <c r="J36" s="198"/>
      <c r="K36" s="210"/>
    </row>
    <row r="37" spans="1:11" s="1" customFormat="1" ht="41.25" hidden="1" customHeight="1">
      <c r="A37" s="211">
        <v>16</v>
      </c>
      <c r="B37" s="218" t="s">
        <v>182</v>
      </c>
      <c r="C37" s="219" t="e">
        <f>MASTER!#REF!</f>
        <v>#REF!</v>
      </c>
      <c r="D37" s="216" t="e">
        <f>MASTER!#REF!</f>
        <v>#REF!</v>
      </c>
      <c r="E37" s="199"/>
      <c r="F37" s="199"/>
      <c r="G37" s="199"/>
      <c r="H37" s="199"/>
      <c r="I37" s="199"/>
      <c r="J37" s="199"/>
      <c r="K37" s="209"/>
    </row>
    <row r="38" spans="1:11" s="1" customFormat="1" ht="41.25" customHeight="1">
      <c r="A38" s="211">
        <v>8</v>
      </c>
      <c r="B38" s="218" t="s">
        <v>172</v>
      </c>
      <c r="C38" s="219" t="e">
        <f>MASTER!#REF!</f>
        <v>#REF!</v>
      </c>
      <c r="D38" s="216" t="e">
        <f>MASTER!#REF!</f>
        <v>#REF!</v>
      </c>
      <c r="E38" s="199"/>
      <c r="F38" s="199"/>
      <c r="G38" s="199"/>
      <c r="H38" s="199"/>
      <c r="I38" s="199"/>
      <c r="J38" s="199"/>
      <c r="K38" s="209"/>
    </row>
    <row r="39" spans="1:11" s="1" customFormat="1" ht="41.25" hidden="1" customHeight="1">
      <c r="A39" s="211">
        <v>9</v>
      </c>
      <c r="B39" s="218" t="s">
        <v>236</v>
      </c>
      <c r="C39" s="219" t="e">
        <f>MASTER!#REF!</f>
        <v>#REF!</v>
      </c>
      <c r="D39" s="216" t="e">
        <f>MASTER!#REF!</f>
        <v>#REF!</v>
      </c>
      <c r="E39" s="199"/>
      <c r="F39" s="199"/>
      <c r="G39" s="199"/>
      <c r="H39" s="199"/>
      <c r="I39" s="199"/>
      <c r="J39" s="199"/>
      <c r="K39" s="209"/>
    </row>
    <row r="40" spans="1:11" s="1" customFormat="1" ht="41.25" hidden="1" customHeight="1">
      <c r="A40" s="211">
        <v>10</v>
      </c>
      <c r="B40" s="218" t="s">
        <v>75</v>
      </c>
      <c r="C40" s="219" t="e">
        <f>MASTER!#REF!</f>
        <v>#REF!</v>
      </c>
      <c r="D40" s="216" t="e">
        <f>MASTER!#REF!</f>
        <v>#REF!</v>
      </c>
      <c r="E40" s="199"/>
      <c r="F40" s="199"/>
      <c r="G40" s="199"/>
      <c r="H40" s="199"/>
      <c r="I40" s="199"/>
      <c r="J40" s="199"/>
      <c r="K40" s="209"/>
    </row>
    <row r="41" spans="1:11" s="1" customFormat="1" ht="41.25" hidden="1" customHeight="1">
      <c r="A41" s="211">
        <v>19</v>
      </c>
      <c r="B41" s="218" t="s">
        <v>212</v>
      </c>
      <c r="C41" s="219" t="e">
        <f>MASTER!#REF!</f>
        <v>#REF!</v>
      </c>
      <c r="D41" s="216" t="e">
        <f>MASTER!#REF!</f>
        <v>#REF!</v>
      </c>
      <c r="E41" s="199"/>
      <c r="F41" s="199"/>
      <c r="G41" s="199"/>
      <c r="H41" s="199"/>
      <c r="I41" s="199"/>
      <c r="J41" s="199"/>
      <c r="K41" s="209"/>
    </row>
    <row r="42" spans="1:11" s="1" customFormat="1" ht="41.25" customHeight="1">
      <c r="A42" s="211">
        <v>11</v>
      </c>
      <c r="B42" s="218" t="s">
        <v>238</v>
      </c>
      <c r="C42" s="219" t="e">
        <f>MASTER!#REF!</f>
        <v>#REF!</v>
      </c>
      <c r="D42" s="216" t="e">
        <f>MASTER!#REF!</f>
        <v>#REF!</v>
      </c>
      <c r="E42" s="199"/>
      <c r="F42" s="199"/>
      <c r="G42" s="199"/>
      <c r="H42" s="199"/>
      <c r="I42" s="199"/>
      <c r="J42" s="199"/>
      <c r="K42" s="209"/>
    </row>
    <row r="43" spans="1:11" s="1" customFormat="1" ht="41.25" customHeight="1">
      <c r="A43" s="211">
        <v>12</v>
      </c>
      <c r="B43" s="218" t="s">
        <v>240</v>
      </c>
      <c r="C43" s="219" t="e">
        <f>MASTER!#REF!</f>
        <v>#REF!</v>
      </c>
      <c r="D43" s="216" t="e">
        <f>MASTER!#REF!</f>
        <v>#REF!</v>
      </c>
      <c r="E43" s="199"/>
      <c r="F43" s="199"/>
      <c r="G43" s="199"/>
      <c r="H43" s="199"/>
      <c r="I43" s="199"/>
      <c r="J43" s="199"/>
      <c r="K43" s="209"/>
    </row>
    <row r="44" spans="1:11" s="1" customFormat="1" ht="41.25" hidden="1" customHeight="1">
      <c r="A44" s="211">
        <v>13</v>
      </c>
      <c r="B44" s="218" t="s">
        <v>178</v>
      </c>
      <c r="C44" s="219" t="e">
        <f>MASTER!#REF!</f>
        <v>#REF!</v>
      </c>
      <c r="D44" s="216" t="e">
        <f>MASTER!#REF!</f>
        <v>#REF!</v>
      </c>
      <c r="E44" s="199"/>
      <c r="F44" s="199"/>
      <c r="G44" s="199"/>
      <c r="H44" s="199"/>
      <c r="I44" s="199"/>
      <c r="J44" s="199"/>
      <c r="K44" s="209"/>
    </row>
    <row r="45" spans="1:11" s="1" customFormat="1" ht="41.25" hidden="1" customHeight="1">
      <c r="A45" s="211">
        <v>23</v>
      </c>
      <c r="B45" s="218" t="s">
        <v>195</v>
      </c>
      <c r="C45" s="219" t="e">
        <f>MASTER!#REF!</f>
        <v>#REF!</v>
      </c>
      <c r="D45" s="216" t="e">
        <f>MASTER!#REF!</f>
        <v>#REF!</v>
      </c>
      <c r="E45" s="199"/>
      <c r="F45" s="199"/>
      <c r="G45" s="199"/>
      <c r="H45" s="199"/>
      <c r="I45" s="199"/>
      <c r="J45" s="199"/>
      <c r="K45" s="209"/>
    </row>
    <row r="46" spans="1:11" s="1" customFormat="1" ht="41.25" hidden="1" customHeight="1">
      <c r="A46" s="211">
        <v>11</v>
      </c>
      <c r="B46" s="218" t="s">
        <v>228</v>
      </c>
      <c r="C46" s="219" t="e">
        <f>MASTER!#REF!</f>
        <v>#REF!</v>
      </c>
      <c r="D46" s="216" t="e">
        <f>MASTER!#REF!</f>
        <v>#REF!</v>
      </c>
      <c r="E46" s="199"/>
      <c r="F46" s="199"/>
      <c r="G46" s="199"/>
      <c r="H46" s="199"/>
      <c r="I46" s="199"/>
      <c r="J46" s="199"/>
      <c r="K46" s="209"/>
    </row>
    <row r="47" spans="1:11" s="1" customFormat="1" ht="41.25" hidden="1" customHeight="1">
      <c r="A47" s="211">
        <v>12</v>
      </c>
      <c r="B47" s="218" t="s">
        <v>241</v>
      </c>
      <c r="C47" s="219" t="e">
        <f>MASTER!#REF!</f>
        <v>#REF!</v>
      </c>
      <c r="D47" s="216" t="e">
        <f>MASTER!#REF!</f>
        <v>#REF!</v>
      </c>
      <c r="E47" s="199"/>
      <c r="F47" s="199"/>
      <c r="G47" s="199"/>
      <c r="H47" s="199"/>
      <c r="I47" s="199"/>
      <c r="J47" s="199"/>
      <c r="K47" s="209"/>
    </row>
    <row r="48" spans="1:11" s="1" customFormat="1" ht="41.25" hidden="1" customHeight="1">
      <c r="A48" s="211">
        <v>13</v>
      </c>
      <c r="B48" s="218" t="s">
        <v>243</v>
      </c>
      <c r="C48" s="219" t="e">
        <f>MASTER!#REF!</f>
        <v>#REF!</v>
      </c>
      <c r="D48" s="216" t="e">
        <f>MASTER!#REF!</f>
        <v>#REF!</v>
      </c>
      <c r="E48" s="199"/>
      <c r="F48" s="199"/>
      <c r="G48" s="199"/>
      <c r="H48" s="199"/>
      <c r="I48" s="199"/>
      <c r="J48" s="199"/>
      <c r="K48" s="209"/>
    </row>
    <row r="49" spans="1:11" s="1" customFormat="1" ht="29.25" customHeight="1">
      <c r="A49" s="201"/>
      <c r="B49" s="199"/>
      <c r="C49" s="199"/>
      <c r="D49" s="217" t="e">
        <f>SUM(D18:D48)</f>
        <v>#REF!</v>
      </c>
      <c r="E49" s="199"/>
      <c r="F49" s="199"/>
      <c r="G49" s="199"/>
      <c r="H49" s="199"/>
      <c r="I49" s="199"/>
      <c r="J49" s="199"/>
      <c r="K49" s="209"/>
    </row>
    <row r="50" spans="1:11" s="1" customFormat="1" ht="15.75" customHeight="1">
      <c r="A50" s="184"/>
      <c r="B50" s="144"/>
      <c r="C50" s="144"/>
      <c r="D50" s="144"/>
      <c r="E50" s="144"/>
      <c r="F50" s="144"/>
      <c r="G50" s="144"/>
      <c r="H50" s="144"/>
      <c r="I50" s="144"/>
      <c r="J50" s="144"/>
      <c r="K50" s="179"/>
    </row>
    <row r="51" spans="1:11" s="1" customFormat="1" ht="15.75" customHeight="1">
      <c r="A51" s="184"/>
      <c r="B51" s="144"/>
      <c r="C51" s="144"/>
      <c r="D51" s="144"/>
      <c r="E51" s="144"/>
      <c r="F51" s="144"/>
      <c r="G51" s="144"/>
      <c r="H51" s="144"/>
      <c r="I51" s="144"/>
      <c r="J51" s="144"/>
      <c r="K51" s="179"/>
    </row>
    <row r="52" spans="1:11" s="1" customFormat="1" ht="37.5" customHeight="1">
      <c r="A52" s="184"/>
      <c r="B52" s="233"/>
      <c r="C52" s="144"/>
      <c r="D52" s="144"/>
      <c r="E52" s="144"/>
      <c r="F52" s="144"/>
      <c r="G52" s="144"/>
      <c r="H52" s="144"/>
      <c r="I52" s="144"/>
      <c r="J52" s="144"/>
      <c r="K52" s="179"/>
    </row>
    <row r="53" spans="1:11" ht="37.5" customHeight="1">
      <c r="A53" s="184"/>
      <c r="B53" s="234"/>
      <c r="C53" s="235"/>
      <c r="D53" s="235"/>
      <c r="E53" s="186"/>
      <c r="F53" s="186"/>
      <c r="G53" s="187"/>
      <c r="H53" s="187"/>
      <c r="I53" s="185"/>
      <c r="J53" s="187"/>
      <c r="K53" s="188"/>
    </row>
    <row r="54" spans="1:11" ht="15.75" customHeight="1">
      <c r="A54" s="184"/>
      <c r="B54" s="185"/>
      <c r="C54" s="185"/>
      <c r="D54" s="185"/>
      <c r="E54" s="185"/>
      <c r="F54" s="185"/>
      <c r="G54" s="187"/>
      <c r="H54" s="187"/>
      <c r="I54" s="185"/>
      <c r="J54" s="187"/>
      <c r="K54" s="188"/>
    </row>
    <row r="55" spans="1:11" s="240" customFormat="1" ht="43.5" customHeight="1">
      <c r="A55" s="236"/>
      <c r="B55" s="237"/>
      <c r="C55" s="238"/>
      <c r="D55" s="237"/>
      <c r="E55" s="237"/>
      <c r="F55" s="237"/>
      <c r="G55" s="237"/>
      <c r="H55" s="237"/>
      <c r="I55" s="237"/>
      <c r="J55" s="237"/>
      <c r="K55" s="239"/>
    </row>
    <row r="56" spans="1:11" ht="13.5" customHeight="1">
      <c r="A56" s="189"/>
      <c r="B56" s="185"/>
      <c r="C56" s="185"/>
      <c r="D56" s="185"/>
      <c r="E56" s="202"/>
      <c r="F56" s="202"/>
      <c r="G56" s="203"/>
      <c r="H56" s="203"/>
      <c r="I56" s="190" t="s">
        <v>221</v>
      </c>
      <c r="J56" s="203"/>
      <c r="K56" s="188"/>
    </row>
    <row r="57" spans="1:11" ht="13.5" customHeight="1">
      <c r="A57" s="189"/>
      <c r="B57" s="185"/>
      <c r="C57" s="185"/>
      <c r="D57" s="185"/>
      <c r="E57" s="281"/>
      <c r="F57" s="132"/>
      <c r="G57" s="304"/>
      <c r="H57" s="207"/>
      <c r="I57" s="271"/>
      <c r="J57" s="207"/>
      <c r="K57" s="188"/>
    </row>
    <row r="58" spans="1:11" ht="16.5" customHeight="1">
      <c r="A58" s="189"/>
      <c r="B58" s="185"/>
      <c r="C58" s="185"/>
      <c r="D58" s="185"/>
      <c r="E58" s="281"/>
      <c r="F58" s="132"/>
      <c r="G58" s="304"/>
      <c r="H58" s="207"/>
      <c r="I58" s="272"/>
      <c r="J58" s="207"/>
      <c r="K58" s="188"/>
    </row>
    <row r="59" spans="1:11" ht="38.25" customHeight="1" thickBot="1">
      <c r="A59" s="191"/>
      <c r="B59" s="192"/>
      <c r="C59" s="192"/>
      <c r="D59" s="192"/>
      <c r="E59" s="282"/>
      <c r="F59" s="206"/>
      <c r="G59" s="305"/>
      <c r="H59" s="208"/>
      <c r="I59" s="273"/>
      <c r="J59" s="208"/>
      <c r="K59" s="193"/>
    </row>
  </sheetData>
  <mergeCells count="19">
    <mergeCell ref="I8:J8"/>
    <mergeCell ref="I9:J10"/>
    <mergeCell ref="E11:G13"/>
    <mergeCell ref="E8:H8"/>
    <mergeCell ref="E9:H10"/>
    <mergeCell ref="K9:K10"/>
    <mergeCell ref="K16:K17"/>
    <mergeCell ref="I57:I59"/>
    <mergeCell ref="A15:A17"/>
    <mergeCell ref="B15:B17"/>
    <mergeCell ref="C15:C17"/>
    <mergeCell ref="D15:D17"/>
    <mergeCell ref="J16:J17"/>
    <mergeCell ref="A10:B12"/>
    <mergeCell ref="E57:E59"/>
    <mergeCell ref="G57:G59"/>
    <mergeCell ref="E15:J15"/>
    <mergeCell ref="F16:F17"/>
    <mergeCell ref="H16:H17"/>
  </mergeCells>
  <phoneticPr fontId="6" type="noConversion"/>
  <pageMargins left="0.19685039370078741" right="0.19685039370078741" top="0.98425196850393704" bottom="0.98425196850393704" header="0.51181102362204722" footer="0.51181102362204722"/>
  <pageSetup paperSize="9" scale="44"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BDA37-F981-48EC-8401-B3CA556F5D24}">
  <sheetPr>
    <tabColor rgb="FFFF0000"/>
  </sheetPr>
  <dimension ref="A1:K82"/>
  <sheetViews>
    <sheetView zoomScaleNormal="100" workbookViewId="0">
      <selection activeCell="A80" sqref="A80:F80"/>
    </sheetView>
  </sheetViews>
  <sheetFormatPr defaultColWidth="8" defaultRowHeight="16.5"/>
  <cols>
    <col min="1" max="1" width="6.44140625" style="146" customWidth="1"/>
    <col min="2" max="2" width="4.6640625" style="146" customWidth="1"/>
    <col min="3" max="3" width="7.109375" style="146" customWidth="1"/>
    <col min="4" max="4" width="14.77734375" style="146" customWidth="1"/>
    <col min="5" max="5" width="12" style="146" customWidth="1"/>
    <col min="6" max="6" width="3.109375" style="146" customWidth="1"/>
    <col min="7" max="7" width="7.21875" style="146" customWidth="1"/>
    <col min="8" max="8" width="8.44140625" style="146" customWidth="1"/>
    <col min="9" max="9" width="7.21875" style="146" customWidth="1"/>
    <col min="10" max="10" width="7.6640625" style="146" customWidth="1"/>
    <col min="11" max="11" width="10.33203125" style="146" customWidth="1"/>
    <col min="12" max="16384" width="8" style="146"/>
  </cols>
  <sheetData>
    <row r="1" spans="1:11">
      <c r="A1" s="317" t="s">
        <v>99</v>
      </c>
      <c r="B1" s="317"/>
      <c r="C1" s="317"/>
      <c r="D1" s="317"/>
      <c r="E1" s="317"/>
    </row>
    <row r="2" spans="1:11" ht="17.25" thickBot="1">
      <c r="A2" s="318" t="s">
        <v>100</v>
      </c>
      <c r="B2" s="318"/>
      <c r="C2" s="318"/>
      <c r="D2" s="318"/>
      <c r="E2" s="318"/>
      <c r="F2" s="318"/>
      <c r="G2" s="318"/>
      <c r="H2" s="318"/>
      <c r="I2" s="318"/>
      <c r="J2" s="318"/>
      <c r="K2" s="318"/>
    </row>
    <row r="3" spans="1:11" ht="18.75" customHeight="1" thickTop="1">
      <c r="A3" s="423" t="s">
        <v>101</v>
      </c>
      <c r="B3" s="424"/>
      <c r="C3" s="424"/>
      <c r="D3" s="424"/>
      <c r="E3" s="424"/>
      <c r="F3" s="424"/>
      <c r="G3" s="424"/>
      <c r="H3" s="424"/>
      <c r="I3" s="424"/>
      <c r="J3" s="424"/>
      <c r="K3" s="425"/>
    </row>
    <row r="4" spans="1:11" ht="19.5" thickBot="1">
      <c r="A4" s="426" t="s">
        <v>102</v>
      </c>
      <c r="B4" s="427"/>
      <c r="C4" s="427"/>
      <c r="D4" s="427"/>
      <c r="E4" s="427"/>
      <c r="F4" s="427"/>
      <c r="G4" s="427"/>
      <c r="H4" s="427"/>
      <c r="I4" s="427"/>
      <c r="J4" s="427"/>
      <c r="K4" s="428"/>
    </row>
    <row r="5" spans="1:11" ht="17.25" thickTop="1">
      <c r="A5" s="356" t="s">
        <v>134</v>
      </c>
      <c r="B5" s="355"/>
      <c r="C5" s="329" t="s">
        <v>103</v>
      </c>
      <c r="D5" s="321" t="s">
        <v>135</v>
      </c>
      <c r="E5" s="322"/>
      <c r="F5" s="334"/>
      <c r="G5" s="429" t="s">
        <v>104</v>
      </c>
      <c r="H5" s="418"/>
      <c r="I5" s="418"/>
      <c r="J5" s="418"/>
      <c r="K5" s="419"/>
    </row>
    <row r="6" spans="1:11">
      <c r="A6" s="357"/>
      <c r="B6" s="358"/>
      <c r="C6" s="330"/>
      <c r="D6" s="323"/>
      <c r="E6" s="324"/>
      <c r="F6" s="335"/>
      <c r="G6" s="336" t="s">
        <v>136</v>
      </c>
      <c r="H6" s="337"/>
      <c r="I6" s="337"/>
      <c r="J6" s="337"/>
      <c r="K6" s="338"/>
    </row>
    <row r="7" spans="1:11">
      <c r="A7" s="357"/>
      <c r="B7" s="358"/>
      <c r="C7" s="325" t="s">
        <v>137</v>
      </c>
      <c r="D7" s="341" t="s">
        <v>138</v>
      </c>
      <c r="E7" s="342"/>
      <c r="F7" s="431"/>
      <c r="G7" s="326"/>
      <c r="H7" s="327"/>
      <c r="I7" s="327"/>
      <c r="J7" s="327"/>
      <c r="K7" s="328"/>
    </row>
    <row r="8" spans="1:11">
      <c r="A8" s="357"/>
      <c r="B8" s="358"/>
      <c r="C8" s="320"/>
      <c r="D8" s="343"/>
      <c r="E8" s="344"/>
      <c r="F8" s="345"/>
      <c r="G8" s="336" t="s">
        <v>244</v>
      </c>
      <c r="H8" s="337"/>
      <c r="I8" s="337"/>
      <c r="J8" s="337"/>
      <c r="K8" s="338"/>
    </row>
    <row r="9" spans="1:11" ht="22.5">
      <c r="A9" s="357"/>
      <c r="B9" s="358"/>
      <c r="C9" s="149" t="s">
        <v>139</v>
      </c>
      <c r="D9" s="343" t="s">
        <v>140</v>
      </c>
      <c r="E9" s="344"/>
      <c r="F9" s="345"/>
      <c r="G9" s="336" t="s">
        <v>141</v>
      </c>
      <c r="H9" s="337"/>
      <c r="I9" s="337"/>
      <c r="J9" s="337"/>
      <c r="K9" s="338"/>
    </row>
    <row r="10" spans="1:11" ht="22.5">
      <c r="A10" s="357"/>
      <c r="B10" s="358"/>
      <c r="C10" s="149" t="s">
        <v>105</v>
      </c>
      <c r="D10" s="343" t="s">
        <v>142</v>
      </c>
      <c r="E10" s="344"/>
      <c r="F10" s="345"/>
      <c r="G10" s="336" t="s">
        <v>211</v>
      </c>
      <c r="H10" s="337"/>
      <c r="I10" s="337"/>
      <c r="J10" s="337"/>
      <c r="K10" s="338"/>
    </row>
    <row r="11" spans="1:11">
      <c r="A11" s="357"/>
      <c r="B11" s="358"/>
      <c r="C11" s="330" t="s">
        <v>143</v>
      </c>
      <c r="D11" s="432" t="s">
        <v>144</v>
      </c>
      <c r="E11" s="371"/>
      <c r="F11" s="433"/>
      <c r="G11" s="336" t="s">
        <v>145</v>
      </c>
      <c r="H11" s="337"/>
      <c r="I11" s="337"/>
      <c r="J11" s="337"/>
      <c r="K11" s="338"/>
    </row>
    <row r="12" spans="1:11" ht="17.25" customHeight="1" thickBot="1">
      <c r="A12" s="359"/>
      <c r="B12" s="360"/>
      <c r="C12" s="430"/>
      <c r="D12" s="434"/>
      <c r="E12" s="435"/>
      <c r="F12" s="436"/>
      <c r="G12" s="331"/>
      <c r="H12" s="332"/>
      <c r="I12" s="332"/>
      <c r="J12" s="332"/>
      <c r="K12" s="333"/>
    </row>
    <row r="13" spans="1:11" ht="17.25" customHeight="1" thickTop="1">
      <c r="A13" s="356" t="s">
        <v>146</v>
      </c>
      <c r="B13" s="355"/>
      <c r="C13" s="319" t="s">
        <v>103</v>
      </c>
      <c r="D13" s="321" t="s">
        <v>135</v>
      </c>
      <c r="E13" s="322"/>
      <c r="F13" s="322"/>
      <c r="G13" s="372" t="s">
        <v>147</v>
      </c>
      <c r="H13" s="364" t="s">
        <v>103</v>
      </c>
      <c r="I13" s="365"/>
      <c r="J13" s="361" t="s">
        <v>235</v>
      </c>
      <c r="K13" s="362"/>
    </row>
    <row r="14" spans="1:11">
      <c r="A14" s="357"/>
      <c r="B14" s="358"/>
      <c r="C14" s="320"/>
      <c r="D14" s="323"/>
      <c r="E14" s="324"/>
      <c r="F14" s="324"/>
      <c r="G14" s="373"/>
      <c r="H14" s="366"/>
      <c r="I14" s="367"/>
      <c r="J14" s="343"/>
      <c r="K14" s="363"/>
    </row>
    <row r="15" spans="1:11" ht="16.5" customHeight="1">
      <c r="A15" s="357"/>
      <c r="B15" s="358"/>
      <c r="C15" s="320" t="s">
        <v>106</v>
      </c>
      <c r="D15" s="341" t="s">
        <v>138</v>
      </c>
      <c r="E15" s="342"/>
      <c r="F15" s="342"/>
      <c r="G15" s="373"/>
      <c r="H15" s="366" t="s">
        <v>106</v>
      </c>
      <c r="I15" s="367"/>
      <c r="J15" s="343"/>
      <c r="K15" s="363"/>
    </row>
    <row r="16" spans="1:11">
      <c r="A16" s="357"/>
      <c r="B16" s="358"/>
      <c r="C16" s="320"/>
      <c r="D16" s="343"/>
      <c r="E16" s="344"/>
      <c r="F16" s="344"/>
      <c r="G16" s="373"/>
      <c r="H16" s="366"/>
      <c r="I16" s="367"/>
      <c r="J16" s="343"/>
      <c r="K16" s="363"/>
    </row>
    <row r="17" spans="1:11" ht="16.5" customHeight="1">
      <c r="A17" s="357"/>
      <c r="B17" s="358"/>
      <c r="C17" s="320" t="s">
        <v>107</v>
      </c>
      <c r="D17" s="370" t="s">
        <v>140</v>
      </c>
      <c r="E17" s="371"/>
      <c r="F17" s="371"/>
      <c r="G17" s="373"/>
      <c r="H17" s="366" t="s">
        <v>107</v>
      </c>
      <c r="I17" s="367"/>
      <c r="J17" s="343"/>
      <c r="K17" s="363"/>
    </row>
    <row r="18" spans="1:11" ht="16.5" customHeight="1">
      <c r="A18" s="357"/>
      <c r="B18" s="358"/>
      <c r="C18" s="320"/>
      <c r="D18" s="341"/>
      <c r="E18" s="342"/>
      <c r="F18" s="342"/>
      <c r="G18" s="373"/>
      <c r="H18" s="366"/>
      <c r="I18" s="367"/>
      <c r="J18" s="343"/>
      <c r="K18" s="363"/>
    </row>
    <row r="19" spans="1:11" ht="16.5" customHeight="1">
      <c r="A19" s="357"/>
      <c r="B19" s="358"/>
      <c r="C19" s="320" t="s">
        <v>105</v>
      </c>
      <c r="D19" s="370" t="s">
        <v>142</v>
      </c>
      <c r="E19" s="371"/>
      <c r="F19" s="371"/>
      <c r="G19" s="373"/>
      <c r="H19" s="366" t="s">
        <v>105</v>
      </c>
      <c r="I19" s="367"/>
      <c r="J19" s="343"/>
      <c r="K19" s="363"/>
    </row>
    <row r="20" spans="1:11">
      <c r="A20" s="357"/>
      <c r="B20" s="358"/>
      <c r="C20" s="320"/>
      <c r="D20" s="341"/>
      <c r="E20" s="342"/>
      <c r="F20" s="342"/>
      <c r="G20" s="373"/>
      <c r="H20" s="366"/>
      <c r="I20" s="367"/>
      <c r="J20" s="343"/>
      <c r="K20" s="363"/>
    </row>
    <row r="21" spans="1:11" ht="17.25" customHeight="1" thickBot="1">
      <c r="A21" s="359"/>
      <c r="B21" s="360"/>
      <c r="C21" s="150" t="s">
        <v>108</v>
      </c>
      <c r="D21" s="368" t="s">
        <v>144</v>
      </c>
      <c r="E21" s="369"/>
      <c r="F21" s="369"/>
      <c r="G21" s="374"/>
      <c r="H21" s="339" t="s">
        <v>108</v>
      </c>
      <c r="I21" s="340"/>
      <c r="J21" s="375" t="s">
        <v>148</v>
      </c>
      <c r="K21" s="376"/>
    </row>
    <row r="22" spans="1:11" ht="18" thickTop="1" thickBot="1">
      <c r="A22" s="346" t="s">
        <v>109</v>
      </c>
      <c r="B22" s="347"/>
      <c r="C22" s="347"/>
      <c r="D22" s="348"/>
      <c r="E22" s="348"/>
      <c r="F22" s="348"/>
      <c r="G22" s="347"/>
      <c r="H22" s="347"/>
      <c r="I22" s="347"/>
      <c r="J22" s="347"/>
      <c r="K22" s="349"/>
    </row>
    <row r="23" spans="1:11" ht="23.25" thickTop="1">
      <c r="A23" s="151" t="s">
        <v>110</v>
      </c>
      <c r="B23" s="353" t="s">
        <v>111</v>
      </c>
      <c r="C23" s="354"/>
      <c r="D23" s="355"/>
      <c r="E23" s="147" t="s">
        <v>112</v>
      </c>
      <c r="F23" s="353" t="s">
        <v>113</v>
      </c>
      <c r="G23" s="354"/>
      <c r="H23" s="355"/>
      <c r="I23" s="353" t="s">
        <v>114</v>
      </c>
      <c r="J23" s="355"/>
      <c r="K23" s="152" t="s">
        <v>115</v>
      </c>
    </row>
    <row r="24" spans="1:11">
      <c r="A24" s="153" t="s">
        <v>116</v>
      </c>
      <c r="B24" s="350" t="s">
        <v>149</v>
      </c>
      <c r="C24" s="351"/>
      <c r="D24" s="352"/>
      <c r="E24" s="148" t="s">
        <v>117</v>
      </c>
      <c r="F24" s="350" t="s">
        <v>118</v>
      </c>
      <c r="G24" s="351"/>
      <c r="H24" s="352"/>
      <c r="I24" s="350" t="s">
        <v>119</v>
      </c>
      <c r="J24" s="352"/>
      <c r="K24" s="154" t="s">
        <v>120</v>
      </c>
    </row>
    <row r="25" spans="1:11">
      <c r="A25" s="155">
        <v>1</v>
      </c>
      <c r="B25" s="156" t="s">
        <v>196</v>
      </c>
      <c r="C25" s="157"/>
      <c r="D25" s="158" t="s">
        <v>150</v>
      </c>
      <c r="E25" s="159"/>
      <c r="F25" s="313">
        <v>830230</v>
      </c>
      <c r="G25" s="314"/>
      <c r="H25" s="158"/>
      <c r="I25" s="315" t="s">
        <v>151</v>
      </c>
      <c r="J25" s="316"/>
      <c r="K25" s="160" t="s">
        <v>152</v>
      </c>
    </row>
    <row r="26" spans="1:11">
      <c r="A26" s="161"/>
      <c r="B26" s="162" t="s">
        <v>179</v>
      </c>
      <c r="C26" s="163"/>
      <c r="D26" s="164" t="s">
        <v>150</v>
      </c>
      <c r="E26" s="165"/>
      <c r="F26" s="309">
        <v>830230</v>
      </c>
      <c r="G26" s="310"/>
      <c r="H26" s="164"/>
      <c r="I26" s="311" t="s">
        <v>151</v>
      </c>
      <c r="J26" s="312"/>
      <c r="K26" s="166" t="s">
        <v>152</v>
      </c>
    </row>
    <row r="27" spans="1:11">
      <c r="A27" s="161"/>
      <c r="B27" s="162" t="s">
        <v>180</v>
      </c>
      <c r="C27" s="163"/>
      <c r="D27" s="164" t="s">
        <v>150</v>
      </c>
      <c r="E27" s="165"/>
      <c r="F27" s="309">
        <v>830230</v>
      </c>
      <c r="G27" s="310"/>
      <c r="H27" s="164"/>
      <c r="I27" s="311" t="s">
        <v>151</v>
      </c>
      <c r="J27" s="312"/>
      <c r="K27" s="166" t="s">
        <v>152</v>
      </c>
    </row>
    <row r="28" spans="1:11">
      <c r="A28" s="161"/>
      <c r="B28" s="162" t="s">
        <v>197</v>
      </c>
      <c r="C28" s="163"/>
      <c r="D28" s="164" t="s">
        <v>150</v>
      </c>
      <c r="E28" s="165"/>
      <c r="F28" s="309">
        <v>830230</v>
      </c>
      <c r="G28" s="310"/>
      <c r="H28" s="164"/>
      <c r="I28" s="311" t="s">
        <v>151</v>
      </c>
      <c r="J28" s="312"/>
      <c r="K28" s="166" t="s">
        <v>152</v>
      </c>
    </row>
    <row r="29" spans="1:11">
      <c r="A29" s="161"/>
      <c r="B29" s="162" t="s">
        <v>183</v>
      </c>
      <c r="C29" s="163"/>
      <c r="D29" s="164" t="s">
        <v>150</v>
      </c>
      <c r="E29" s="165"/>
      <c r="F29" s="309">
        <v>830230</v>
      </c>
      <c r="G29" s="310"/>
      <c r="H29" s="164"/>
      <c r="I29" s="311" t="s">
        <v>151</v>
      </c>
      <c r="J29" s="312"/>
      <c r="K29" s="166" t="s">
        <v>152</v>
      </c>
    </row>
    <row r="30" spans="1:11">
      <c r="A30" s="161"/>
      <c r="B30" s="162" t="s">
        <v>198</v>
      </c>
      <c r="C30" s="163"/>
      <c r="D30" s="164" t="s">
        <v>150</v>
      </c>
      <c r="E30" s="165"/>
      <c r="F30" s="309">
        <v>830230</v>
      </c>
      <c r="G30" s="310"/>
      <c r="H30" s="164"/>
      <c r="I30" s="311" t="s">
        <v>151</v>
      </c>
      <c r="J30" s="312"/>
      <c r="K30" s="166" t="s">
        <v>152</v>
      </c>
    </row>
    <row r="31" spans="1:11">
      <c r="A31" s="161"/>
      <c r="B31" s="162" t="s">
        <v>98</v>
      </c>
      <c r="C31" s="163"/>
      <c r="D31" s="164" t="s">
        <v>150</v>
      </c>
      <c r="E31" s="165"/>
      <c r="F31" s="309">
        <v>830230</v>
      </c>
      <c r="G31" s="310"/>
      <c r="H31" s="164"/>
      <c r="I31" s="311" t="s">
        <v>151</v>
      </c>
      <c r="J31" s="312"/>
      <c r="K31" s="166" t="s">
        <v>152</v>
      </c>
    </row>
    <row r="32" spans="1:11">
      <c r="A32" s="161"/>
      <c r="B32" s="162" t="s">
        <v>199</v>
      </c>
      <c r="C32" s="163"/>
      <c r="D32" s="164" t="s">
        <v>150</v>
      </c>
      <c r="E32" s="165"/>
      <c r="F32" s="309">
        <v>830230</v>
      </c>
      <c r="G32" s="310"/>
      <c r="H32" s="164"/>
      <c r="I32" s="311" t="s">
        <v>151</v>
      </c>
      <c r="J32" s="312"/>
      <c r="K32" s="166" t="s">
        <v>152</v>
      </c>
    </row>
    <row r="33" spans="1:11">
      <c r="A33" s="161"/>
      <c r="B33" s="162" t="s">
        <v>200</v>
      </c>
      <c r="C33" s="163"/>
      <c r="D33" s="164" t="s">
        <v>150</v>
      </c>
      <c r="E33" s="165"/>
      <c r="F33" s="309">
        <v>830230</v>
      </c>
      <c r="G33" s="310"/>
      <c r="H33" s="164"/>
      <c r="I33" s="311" t="s">
        <v>151</v>
      </c>
      <c r="J33" s="312"/>
      <c r="K33" s="166" t="s">
        <v>152</v>
      </c>
    </row>
    <row r="34" spans="1:11">
      <c r="A34" s="161"/>
      <c r="B34" s="162" t="s">
        <v>201</v>
      </c>
      <c r="C34" s="163"/>
      <c r="D34" s="164" t="s">
        <v>150</v>
      </c>
      <c r="E34" s="165"/>
      <c r="F34" s="309">
        <v>830230</v>
      </c>
      <c r="G34" s="310"/>
      <c r="H34" s="164"/>
      <c r="I34" s="311" t="s">
        <v>151</v>
      </c>
      <c r="J34" s="312"/>
      <c r="K34" s="166" t="s">
        <v>152</v>
      </c>
    </row>
    <row r="35" spans="1:11">
      <c r="A35" s="161"/>
      <c r="B35" s="162" t="s">
        <v>202</v>
      </c>
      <c r="C35" s="163"/>
      <c r="D35" s="164" t="s">
        <v>150</v>
      </c>
      <c r="E35" s="165"/>
      <c r="F35" s="309">
        <v>830230</v>
      </c>
      <c r="G35" s="310"/>
      <c r="H35" s="164"/>
      <c r="I35" s="311" t="s">
        <v>151</v>
      </c>
      <c r="J35" s="312"/>
      <c r="K35" s="166" t="s">
        <v>152</v>
      </c>
    </row>
    <row r="36" spans="1:11">
      <c r="A36" s="161"/>
      <c r="B36" s="162" t="s">
        <v>203</v>
      </c>
      <c r="C36" s="163"/>
      <c r="D36" s="164" t="s">
        <v>150</v>
      </c>
      <c r="E36" s="165"/>
      <c r="F36" s="309">
        <v>830230</v>
      </c>
      <c r="G36" s="310"/>
      <c r="H36" s="164"/>
      <c r="I36" s="311" t="s">
        <v>151</v>
      </c>
      <c r="J36" s="312"/>
      <c r="K36" s="166" t="s">
        <v>152</v>
      </c>
    </row>
    <row r="37" spans="1:11">
      <c r="A37" s="161"/>
      <c r="B37" s="162" t="s">
        <v>171</v>
      </c>
      <c r="C37" s="163"/>
      <c r="D37" s="164" t="s">
        <v>150</v>
      </c>
      <c r="E37" s="165"/>
      <c r="F37" s="309">
        <v>830230</v>
      </c>
      <c r="G37" s="310"/>
      <c r="H37" s="164"/>
      <c r="I37" s="311" t="s">
        <v>151</v>
      </c>
      <c r="J37" s="312"/>
      <c r="K37" s="166" t="s">
        <v>152</v>
      </c>
    </row>
    <row r="38" spans="1:11">
      <c r="A38" s="161"/>
      <c r="B38" s="162" t="s">
        <v>204</v>
      </c>
      <c r="C38" s="163"/>
      <c r="D38" s="164" t="s">
        <v>150</v>
      </c>
      <c r="E38" s="165"/>
      <c r="F38" s="309">
        <v>830230</v>
      </c>
      <c r="G38" s="310"/>
      <c r="H38" s="164"/>
      <c r="I38" s="311" t="s">
        <v>151</v>
      </c>
      <c r="J38" s="312"/>
      <c r="K38" s="166" t="s">
        <v>152</v>
      </c>
    </row>
    <row r="39" spans="1:11">
      <c r="A39" s="161"/>
      <c r="B39" s="162" t="s">
        <v>205</v>
      </c>
      <c r="C39" s="163"/>
      <c r="D39" s="164" t="s">
        <v>210</v>
      </c>
      <c r="E39" s="165"/>
      <c r="F39" s="309">
        <v>841490</v>
      </c>
      <c r="G39" s="310"/>
      <c r="H39" s="164"/>
      <c r="I39" s="311" t="s">
        <v>151</v>
      </c>
      <c r="J39" s="312"/>
      <c r="K39" s="166" t="s">
        <v>152</v>
      </c>
    </row>
    <row r="40" spans="1:11">
      <c r="A40" s="161"/>
      <c r="B40" s="162" t="s">
        <v>206</v>
      </c>
      <c r="C40" s="163"/>
      <c r="D40" s="164" t="s">
        <v>150</v>
      </c>
      <c r="E40" s="165"/>
      <c r="F40" s="309">
        <v>830230</v>
      </c>
      <c r="G40" s="310"/>
      <c r="H40" s="164"/>
      <c r="I40" s="311" t="s">
        <v>151</v>
      </c>
      <c r="J40" s="312"/>
      <c r="K40" s="166" t="s">
        <v>152</v>
      </c>
    </row>
    <row r="41" spans="1:11">
      <c r="A41" s="161"/>
      <c r="B41" s="162" t="s">
        <v>207</v>
      </c>
      <c r="C41" s="163"/>
      <c r="D41" s="164" t="s">
        <v>150</v>
      </c>
      <c r="E41" s="165"/>
      <c r="F41" s="309">
        <v>830230</v>
      </c>
      <c r="G41" s="310"/>
      <c r="H41" s="164"/>
      <c r="I41" s="311" t="s">
        <v>151</v>
      </c>
      <c r="J41" s="312"/>
      <c r="K41" s="166" t="s">
        <v>152</v>
      </c>
    </row>
    <row r="42" spans="1:11">
      <c r="A42" s="161"/>
      <c r="B42" s="162" t="s">
        <v>83</v>
      </c>
      <c r="C42" s="163"/>
      <c r="D42" s="164" t="s">
        <v>150</v>
      </c>
      <c r="E42" s="165"/>
      <c r="F42" s="309">
        <v>830230</v>
      </c>
      <c r="G42" s="310"/>
      <c r="H42" s="164"/>
      <c r="I42" s="311" t="s">
        <v>151</v>
      </c>
      <c r="J42" s="312"/>
      <c r="K42" s="166" t="s">
        <v>152</v>
      </c>
    </row>
    <row r="43" spans="1:11">
      <c r="A43" s="161"/>
      <c r="B43" s="162" t="s">
        <v>84</v>
      </c>
      <c r="C43" s="163"/>
      <c r="D43" s="164" t="s">
        <v>150</v>
      </c>
      <c r="E43" s="165"/>
      <c r="F43" s="309">
        <v>830230</v>
      </c>
      <c r="G43" s="310"/>
      <c r="H43" s="164"/>
      <c r="I43" s="311" t="s">
        <v>151</v>
      </c>
      <c r="J43" s="312"/>
      <c r="K43" s="166" t="s">
        <v>152</v>
      </c>
    </row>
    <row r="44" spans="1:11">
      <c r="A44" s="161"/>
      <c r="B44" s="162" t="s">
        <v>173</v>
      </c>
      <c r="C44" s="163"/>
      <c r="D44" s="164" t="s">
        <v>150</v>
      </c>
      <c r="E44" s="165"/>
      <c r="F44" s="309">
        <v>830230</v>
      </c>
      <c r="G44" s="310"/>
      <c r="H44" s="164"/>
      <c r="I44" s="311" t="s">
        <v>151</v>
      </c>
      <c r="J44" s="312"/>
      <c r="K44" s="166" t="s">
        <v>152</v>
      </c>
    </row>
    <row r="45" spans="1:11">
      <c r="A45" s="161"/>
      <c r="B45" s="162" t="s">
        <v>182</v>
      </c>
      <c r="C45" s="163"/>
      <c r="D45" s="164" t="s">
        <v>150</v>
      </c>
      <c r="E45" s="165"/>
      <c r="F45" s="309">
        <v>830230</v>
      </c>
      <c r="G45" s="310"/>
      <c r="H45" s="164"/>
      <c r="I45" s="311" t="s">
        <v>151</v>
      </c>
      <c r="J45" s="312"/>
      <c r="K45" s="166" t="s">
        <v>152</v>
      </c>
    </row>
    <row r="46" spans="1:11">
      <c r="A46" s="161"/>
      <c r="B46" s="162" t="s">
        <v>76</v>
      </c>
      <c r="C46" s="163"/>
      <c r="D46" s="164" t="s">
        <v>150</v>
      </c>
      <c r="E46" s="165"/>
      <c r="F46" s="309">
        <v>830230</v>
      </c>
      <c r="G46" s="310"/>
      <c r="H46" s="164"/>
      <c r="I46" s="311" t="s">
        <v>151</v>
      </c>
      <c r="J46" s="312"/>
      <c r="K46" s="166" t="s">
        <v>152</v>
      </c>
    </row>
    <row r="47" spans="1:11">
      <c r="A47" s="161"/>
      <c r="B47" s="162" t="s">
        <v>80</v>
      </c>
      <c r="C47" s="163"/>
      <c r="D47" s="164" t="s">
        <v>150</v>
      </c>
      <c r="E47" s="165"/>
      <c r="F47" s="309">
        <v>830230</v>
      </c>
      <c r="G47" s="310"/>
      <c r="H47" s="164"/>
      <c r="I47" s="311" t="s">
        <v>151</v>
      </c>
      <c r="J47" s="312"/>
      <c r="K47" s="166" t="s">
        <v>152</v>
      </c>
    </row>
    <row r="48" spans="1:11">
      <c r="A48" s="161"/>
      <c r="B48" s="162" t="s">
        <v>81</v>
      </c>
      <c r="C48" s="163"/>
      <c r="D48" s="164" t="s">
        <v>150</v>
      </c>
      <c r="E48" s="165"/>
      <c r="F48" s="309">
        <v>830230</v>
      </c>
      <c r="G48" s="310"/>
      <c r="H48" s="164"/>
      <c r="I48" s="311" t="s">
        <v>151</v>
      </c>
      <c r="J48" s="312"/>
      <c r="K48" s="166" t="s">
        <v>152</v>
      </c>
    </row>
    <row r="49" spans="1:11">
      <c r="A49" s="161"/>
      <c r="B49" s="162" t="s">
        <v>172</v>
      </c>
      <c r="C49" s="163"/>
      <c r="D49" s="164" t="s">
        <v>150</v>
      </c>
      <c r="E49" s="165"/>
      <c r="F49" s="309">
        <v>830230</v>
      </c>
      <c r="G49" s="310"/>
      <c r="H49" s="164"/>
      <c r="I49" s="311" t="s">
        <v>151</v>
      </c>
      <c r="J49" s="312"/>
      <c r="K49" s="166" t="s">
        <v>152</v>
      </c>
    </row>
    <row r="50" spans="1:11">
      <c r="A50" s="161"/>
      <c r="B50" s="162" t="s">
        <v>75</v>
      </c>
      <c r="C50" s="163"/>
      <c r="D50" s="164" t="s">
        <v>150</v>
      </c>
      <c r="E50" s="165"/>
      <c r="F50" s="309">
        <v>830230</v>
      </c>
      <c r="G50" s="310"/>
      <c r="H50" s="164"/>
      <c r="I50" s="311" t="s">
        <v>151</v>
      </c>
      <c r="J50" s="312"/>
      <c r="K50" s="166" t="s">
        <v>152</v>
      </c>
    </row>
    <row r="51" spans="1:11">
      <c r="A51" s="161"/>
      <c r="B51" s="162" t="s">
        <v>191</v>
      </c>
      <c r="C51" s="163"/>
      <c r="D51" s="164" t="s">
        <v>150</v>
      </c>
      <c r="E51" s="165"/>
      <c r="F51" s="309">
        <v>830230</v>
      </c>
      <c r="G51" s="310"/>
      <c r="H51" s="164"/>
      <c r="I51" s="311" t="s">
        <v>151</v>
      </c>
      <c r="J51" s="312"/>
      <c r="K51" s="166" t="s">
        <v>152</v>
      </c>
    </row>
    <row r="52" spans="1:11">
      <c r="A52" s="161"/>
      <c r="B52" s="162" t="s">
        <v>175</v>
      </c>
      <c r="C52" s="163"/>
      <c r="D52" s="164" t="s">
        <v>150</v>
      </c>
      <c r="E52" s="165"/>
      <c r="F52" s="309">
        <v>830230</v>
      </c>
      <c r="G52" s="310"/>
      <c r="H52" s="164"/>
      <c r="I52" s="311" t="s">
        <v>151</v>
      </c>
      <c r="J52" s="312"/>
      <c r="K52" s="166" t="s">
        <v>152</v>
      </c>
    </row>
    <row r="53" spans="1:11">
      <c r="A53" s="161"/>
      <c r="B53" s="162" t="s">
        <v>208</v>
      </c>
      <c r="C53" s="163"/>
      <c r="D53" s="164" t="s">
        <v>150</v>
      </c>
      <c r="E53" s="165"/>
      <c r="F53" s="309">
        <v>830230</v>
      </c>
      <c r="G53" s="310"/>
      <c r="H53" s="164"/>
      <c r="I53" s="311" t="s">
        <v>151</v>
      </c>
      <c r="J53" s="312"/>
      <c r="K53" s="166" t="s">
        <v>152</v>
      </c>
    </row>
    <row r="54" spans="1:11">
      <c r="A54" s="161"/>
      <c r="B54" s="162" t="s">
        <v>192</v>
      </c>
      <c r="C54" s="163"/>
      <c r="D54" s="164" t="s">
        <v>150</v>
      </c>
      <c r="E54" s="165"/>
      <c r="F54" s="309">
        <v>830230</v>
      </c>
      <c r="G54" s="310"/>
      <c r="H54" s="164"/>
      <c r="I54" s="311" t="s">
        <v>151</v>
      </c>
      <c r="J54" s="312"/>
      <c r="K54" s="166" t="s">
        <v>152</v>
      </c>
    </row>
    <row r="55" spans="1:11">
      <c r="A55" s="161"/>
      <c r="B55" s="162" t="s">
        <v>178</v>
      </c>
      <c r="C55" s="163"/>
      <c r="D55" s="164" t="s">
        <v>150</v>
      </c>
      <c r="E55" s="165"/>
      <c r="F55" s="309">
        <v>830230</v>
      </c>
      <c r="G55" s="310"/>
      <c r="H55" s="164"/>
      <c r="I55" s="311" t="s">
        <v>151</v>
      </c>
      <c r="J55" s="312"/>
      <c r="K55" s="166" t="s">
        <v>152</v>
      </c>
    </row>
    <row r="56" spans="1:11">
      <c r="A56" s="161"/>
      <c r="B56" s="162" t="s">
        <v>234</v>
      </c>
      <c r="C56" s="163"/>
      <c r="D56" s="164" t="s">
        <v>150</v>
      </c>
      <c r="E56" s="165"/>
      <c r="F56" s="309">
        <v>830231</v>
      </c>
      <c r="G56" s="310"/>
      <c r="H56" s="164"/>
      <c r="I56" s="311" t="s">
        <v>151</v>
      </c>
      <c r="J56" s="312"/>
      <c r="K56" s="166" t="s">
        <v>152</v>
      </c>
    </row>
    <row r="57" spans="1:11">
      <c r="A57" s="161"/>
      <c r="B57" s="162" t="s">
        <v>209</v>
      </c>
      <c r="C57" s="163"/>
      <c r="D57" s="164" t="s">
        <v>150</v>
      </c>
      <c r="E57" s="165"/>
      <c r="F57" s="309">
        <v>830230</v>
      </c>
      <c r="G57" s="310"/>
      <c r="H57" s="164"/>
      <c r="I57" s="311" t="s">
        <v>151</v>
      </c>
      <c r="J57" s="312"/>
      <c r="K57" s="166" t="s">
        <v>152</v>
      </c>
    </row>
    <row r="58" spans="1:11">
      <c r="A58" s="161"/>
      <c r="B58" s="162" t="s">
        <v>229</v>
      </c>
      <c r="C58" s="163"/>
      <c r="D58" s="164" t="s">
        <v>150</v>
      </c>
      <c r="E58" s="165"/>
      <c r="F58" s="309">
        <v>830230</v>
      </c>
      <c r="G58" s="310"/>
      <c r="H58" s="164"/>
      <c r="I58" s="311" t="s">
        <v>151</v>
      </c>
      <c r="J58" s="312"/>
      <c r="K58" s="166" t="s">
        <v>152</v>
      </c>
    </row>
    <row r="59" spans="1:11" ht="17.25" thickBot="1">
      <c r="A59" s="161"/>
      <c r="B59" s="162" t="s">
        <v>246</v>
      </c>
      <c r="C59" s="163"/>
      <c r="D59" s="164" t="s">
        <v>150</v>
      </c>
      <c r="E59" s="165"/>
      <c r="F59" s="309">
        <v>830230</v>
      </c>
      <c r="G59" s="310"/>
      <c r="H59" s="167"/>
      <c r="I59" s="311" t="s">
        <v>151</v>
      </c>
      <c r="J59" s="312"/>
      <c r="K59" s="166" t="s">
        <v>152</v>
      </c>
    </row>
    <row r="60" spans="1:11" ht="17.25" thickTop="1">
      <c r="A60" s="417" t="s">
        <v>121</v>
      </c>
      <c r="B60" s="418"/>
      <c r="C60" s="418"/>
      <c r="D60" s="418"/>
      <c r="E60" s="418"/>
      <c r="F60" s="418"/>
      <c r="G60" s="418"/>
      <c r="H60" s="418"/>
      <c r="I60" s="418"/>
      <c r="J60" s="418"/>
      <c r="K60" s="419"/>
    </row>
    <row r="61" spans="1:11" ht="17.25" thickBot="1">
      <c r="A61" s="420" t="s">
        <v>153</v>
      </c>
      <c r="B61" s="421"/>
      <c r="C61" s="421"/>
      <c r="D61" s="421"/>
      <c r="E61" s="421"/>
      <c r="F61" s="421"/>
      <c r="G61" s="421"/>
      <c r="H61" s="421"/>
      <c r="I61" s="421"/>
      <c r="J61" s="421"/>
      <c r="K61" s="422"/>
    </row>
    <row r="62" spans="1:11" ht="17.25" thickTop="1">
      <c r="A62" s="414" t="s">
        <v>122</v>
      </c>
      <c r="B62" s="415"/>
      <c r="C62" s="415"/>
      <c r="D62" s="415"/>
      <c r="E62" s="415"/>
      <c r="F62" s="415"/>
      <c r="G62" s="415"/>
      <c r="H62" s="415"/>
      <c r="I62" s="415"/>
      <c r="J62" s="415"/>
      <c r="K62" s="416"/>
    </row>
    <row r="63" spans="1:11">
      <c r="A63" s="380" t="s">
        <v>123</v>
      </c>
      <c r="B63" s="381"/>
      <c r="C63" s="381"/>
      <c r="D63" s="381"/>
      <c r="E63" s="381"/>
      <c r="F63" s="381"/>
      <c r="G63" s="381"/>
      <c r="H63" s="381"/>
      <c r="I63" s="381"/>
      <c r="J63" s="381"/>
      <c r="K63" s="382"/>
    </row>
    <row r="64" spans="1:11">
      <c r="A64" s="380" t="s">
        <v>124</v>
      </c>
      <c r="B64" s="381"/>
      <c r="C64" s="381"/>
      <c r="D64" s="381"/>
      <c r="E64" s="381"/>
      <c r="F64" s="381"/>
      <c r="G64" s="381"/>
      <c r="H64" s="381"/>
      <c r="I64" s="381"/>
      <c r="J64" s="381"/>
      <c r="K64" s="382"/>
    </row>
    <row r="65" spans="1:11">
      <c r="A65" s="380" t="s">
        <v>125</v>
      </c>
      <c r="B65" s="381"/>
      <c r="C65" s="381"/>
      <c r="D65" s="381"/>
      <c r="E65" s="381"/>
      <c r="F65" s="381"/>
      <c r="G65" s="381"/>
      <c r="H65" s="381"/>
      <c r="I65" s="381"/>
      <c r="J65" s="381"/>
      <c r="K65" s="382"/>
    </row>
    <row r="66" spans="1:11" ht="21" customHeight="1">
      <c r="A66" s="380" t="s">
        <v>126</v>
      </c>
      <c r="B66" s="381"/>
      <c r="C66" s="381"/>
      <c r="D66" s="381"/>
      <c r="E66" s="381"/>
      <c r="F66" s="381"/>
      <c r="G66" s="381"/>
      <c r="H66" s="381"/>
      <c r="I66" s="381"/>
      <c r="J66" s="381"/>
      <c r="K66" s="382"/>
    </row>
    <row r="67" spans="1:11" ht="21" customHeight="1">
      <c r="A67" s="380" t="s">
        <v>127</v>
      </c>
      <c r="B67" s="381"/>
      <c r="C67" s="381"/>
      <c r="D67" s="381"/>
      <c r="E67" s="381"/>
      <c r="F67" s="381"/>
      <c r="G67" s="381"/>
      <c r="H67" s="381"/>
      <c r="I67" s="381"/>
      <c r="J67" s="381"/>
      <c r="K67" s="382"/>
    </row>
    <row r="68" spans="1:11" ht="21" customHeight="1">
      <c r="A68" s="380" t="s">
        <v>128</v>
      </c>
      <c r="B68" s="381"/>
      <c r="C68" s="381"/>
      <c r="D68" s="381"/>
      <c r="E68" s="381"/>
      <c r="F68" s="381"/>
      <c r="G68" s="381"/>
      <c r="H68" s="381"/>
      <c r="I68" s="381"/>
      <c r="J68" s="381"/>
      <c r="K68" s="382"/>
    </row>
    <row r="69" spans="1:11" ht="21" customHeight="1">
      <c r="A69" s="380" t="s">
        <v>129</v>
      </c>
      <c r="B69" s="381"/>
      <c r="C69" s="381"/>
      <c r="D69" s="381"/>
      <c r="E69" s="381"/>
      <c r="F69" s="381"/>
      <c r="G69" s="381"/>
      <c r="H69" s="381"/>
      <c r="I69" s="381"/>
      <c r="J69" s="381"/>
      <c r="K69" s="382"/>
    </row>
    <row r="70" spans="1:11">
      <c r="A70" s="380" t="s">
        <v>130</v>
      </c>
      <c r="B70" s="381"/>
      <c r="C70" s="381"/>
      <c r="D70" s="381"/>
      <c r="E70" s="381"/>
      <c r="F70" s="381"/>
      <c r="G70" s="381"/>
      <c r="H70" s="381"/>
      <c r="I70" s="381"/>
      <c r="J70" s="381"/>
      <c r="K70" s="382"/>
    </row>
    <row r="71" spans="1:11">
      <c r="A71" s="380" t="s">
        <v>131</v>
      </c>
      <c r="B71" s="381"/>
      <c r="C71" s="381"/>
      <c r="D71" s="381"/>
      <c r="E71" s="381"/>
      <c r="F71" s="381"/>
      <c r="G71" s="381"/>
      <c r="H71" s="381"/>
      <c r="I71" s="381"/>
      <c r="J71" s="381"/>
      <c r="K71" s="382"/>
    </row>
    <row r="72" spans="1:11">
      <c r="A72" s="385" t="s">
        <v>132</v>
      </c>
      <c r="B72" s="386"/>
      <c r="C72" s="386"/>
      <c r="D72" s="386"/>
      <c r="E72" s="386"/>
      <c r="F72" s="386"/>
      <c r="G72" s="386"/>
      <c r="H72" s="386"/>
      <c r="I72" s="386"/>
      <c r="J72" s="386"/>
      <c r="K72" s="387"/>
    </row>
    <row r="73" spans="1:11" ht="17.25" thickBot="1">
      <c r="A73" s="413"/>
      <c r="B73" s="332"/>
      <c r="C73" s="332"/>
      <c r="D73" s="332"/>
      <c r="E73" s="332"/>
      <c r="F73" s="332"/>
      <c r="G73" s="332"/>
      <c r="H73" s="332"/>
      <c r="I73" s="332"/>
      <c r="J73" s="332"/>
      <c r="K73" s="333"/>
    </row>
    <row r="74" spans="1:11" ht="17.25" thickTop="1">
      <c r="A74" s="383" t="s">
        <v>133</v>
      </c>
      <c r="B74" s="378"/>
      <c r="C74" s="378"/>
      <c r="D74" s="378"/>
      <c r="E74" s="378"/>
      <c r="F74" s="384"/>
      <c r="G74" s="377" t="s">
        <v>154</v>
      </c>
      <c r="H74" s="378"/>
      <c r="I74" s="378"/>
      <c r="J74" s="378"/>
      <c r="K74" s="379"/>
    </row>
    <row r="75" spans="1:11" ht="17.25" thickBot="1">
      <c r="A75" s="400" t="s">
        <v>155</v>
      </c>
      <c r="B75" s="401"/>
      <c r="C75" s="401"/>
      <c r="D75" s="401"/>
      <c r="E75" s="401"/>
      <c r="F75" s="402"/>
      <c r="G75" s="403" t="s">
        <v>156</v>
      </c>
      <c r="H75" s="401"/>
      <c r="I75" s="401"/>
      <c r="J75" s="401"/>
      <c r="K75" s="404"/>
    </row>
    <row r="76" spans="1:11">
      <c r="A76" s="405" t="s">
        <v>157</v>
      </c>
      <c r="B76" s="406"/>
      <c r="C76" s="406"/>
      <c r="D76" s="406"/>
      <c r="E76" s="406"/>
      <c r="F76" s="407"/>
      <c r="G76" s="411" t="s">
        <v>158</v>
      </c>
      <c r="H76" s="406"/>
      <c r="I76" s="406"/>
      <c r="J76" s="406"/>
      <c r="K76" s="412"/>
    </row>
    <row r="77" spans="1:11" ht="17.25" thickBot="1">
      <c r="A77" s="400" t="s">
        <v>159</v>
      </c>
      <c r="B77" s="401"/>
      <c r="C77" s="401"/>
      <c r="D77" s="401"/>
      <c r="E77" s="401"/>
      <c r="F77" s="402"/>
      <c r="G77" s="403" t="s">
        <v>160</v>
      </c>
      <c r="H77" s="401"/>
      <c r="I77" s="401"/>
      <c r="J77" s="401"/>
      <c r="K77" s="404"/>
    </row>
    <row r="78" spans="1:11" ht="16.5" customHeight="1">
      <c r="A78" s="405" t="s">
        <v>161</v>
      </c>
      <c r="B78" s="406"/>
      <c r="C78" s="406"/>
      <c r="D78" s="406"/>
      <c r="E78" s="406"/>
      <c r="F78" s="407"/>
      <c r="G78" s="391" t="s">
        <v>174</v>
      </c>
      <c r="H78" s="392"/>
      <c r="I78" s="392"/>
      <c r="J78" s="392"/>
      <c r="K78" s="393"/>
    </row>
    <row r="79" spans="1:11" ht="16.5" customHeight="1">
      <c r="A79" s="408" t="s">
        <v>162</v>
      </c>
      <c r="B79" s="409"/>
      <c r="C79" s="409"/>
      <c r="D79" s="409"/>
      <c r="E79" s="409"/>
      <c r="F79" s="410"/>
      <c r="G79" s="394"/>
      <c r="H79" s="395"/>
      <c r="I79" s="395"/>
      <c r="J79" s="395"/>
      <c r="K79" s="396"/>
    </row>
    <row r="80" spans="1:11" ht="17.25" thickBot="1">
      <c r="A80" s="388" t="s">
        <v>245</v>
      </c>
      <c r="B80" s="389"/>
      <c r="C80" s="389"/>
      <c r="D80" s="389"/>
      <c r="E80" s="389"/>
      <c r="F80" s="390"/>
      <c r="G80" s="397"/>
      <c r="H80" s="398"/>
      <c r="I80" s="398"/>
      <c r="J80" s="398"/>
      <c r="K80" s="399"/>
    </row>
    <row r="81" spans="1:1" ht="19.5" thickTop="1">
      <c r="A81" s="168"/>
    </row>
    <row r="82" spans="1:1">
      <c r="A82" s="169"/>
    </row>
  </sheetData>
  <mergeCells count="145">
    <mergeCell ref="A3:K3"/>
    <mergeCell ref="A4:K4"/>
    <mergeCell ref="G5:K5"/>
    <mergeCell ref="G6:K6"/>
    <mergeCell ref="A5:B12"/>
    <mergeCell ref="C11:C12"/>
    <mergeCell ref="D7:F8"/>
    <mergeCell ref="D11:F12"/>
    <mergeCell ref="D9:F9"/>
    <mergeCell ref="G10:K10"/>
    <mergeCell ref="A63:K63"/>
    <mergeCell ref="I59:J59"/>
    <mergeCell ref="A73:K73"/>
    <mergeCell ref="A67:K67"/>
    <mergeCell ref="F59:G59"/>
    <mergeCell ref="A65:K65"/>
    <mergeCell ref="A62:K62"/>
    <mergeCell ref="A60:K60"/>
    <mergeCell ref="A61:K61"/>
    <mergeCell ref="A64:K64"/>
    <mergeCell ref="G74:K74"/>
    <mergeCell ref="A70:K70"/>
    <mergeCell ref="A68:K68"/>
    <mergeCell ref="A66:K66"/>
    <mergeCell ref="A71:K71"/>
    <mergeCell ref="A74:F74"/>
    <mergeCell ref="A69:K69"/>
    <mergeCell ref="A72:K72"/>
    <mergeCell ref="A80:F80"/>
    <mergeCell ref="G78:K80"/>
    <mergeCell ref="A75:F75"/>
    <mergeCell ref="G77:K77"/>
    <mergeCell ref="A78:F78"/>
    <mergeCell ref="A79:F79"/>
    <mergeCell ref="A77:F77"/>
    <mergeCell ref="G76:K76"/>
    <mergeCell ref="G75:K75"/>
    <mergeCell ref="A76:F76"/>
    <mergeCell ref="C17:C18"/>
    <mergeCell ref="G13:G21"/>
    <mergeCell ref="J15:K16"/>
    <mergeCell ref="H17:I18"/>
    <mergeCell ref="J21:K21"/>
    <mergeCell ref="D19:F20"/>
    <mergeCell ref="H15:I16"/>
    <mergeCell ref="I57:J57"/>
    <mergeCell ref="I48:J48"/>
    <mergeCell ref="F48:G48"/>
    <mergeCell ref="I51:J51"/>
    <mergeCell ref="F57:G57"/>
    <mergeCell ref="F55:G55"/>
    <mergeCell ref="I54:J54"/>
    <mergeCell ref="F54:G54"/>
    <mergeCell ref="I52:J52"/>
    <mergeCell ref="I53:J53"/>
    <mergeCell ref="I55:J55"/>
    <mergeCell ref="F52:G52"/>
    <mergeCell ref="F23:H23"/>
    <mergeCell ref="I26:J26"/>
    <mergeCell ref="I30:J30"/>
    <mergeCell ref="I24:J24"/>
    <mergeCell ref="F53:G53"/>
    <mergeCell ref="I42:J42"/>
    <mergeCell ref="I38:J38"/>
    <mergeCell ref="F42:G42"/>
    <mergeCell ref="I31:J31"/>
    <mergeCell ref="G8:K8"/>
    <mergeCell ref="G11:K11"/>
    <mergeCell ref="D10:F10"/>
    <mergeCell ref="F50:G50"/>
    <mergeCell ref="I47:J47"/>
    <mergeCell ref="F47:G47"/>
    <mergeCell ref="A22:K22"/>
    <mergeCell ref="F24:H24"/>
    <mergeCell ref="F27:G27"/>
    <mergeCell ref="B23:D23"/>
    <mergeCell ref="I23:J23"/>
    <mergeCell ref="B24:D24"/>
    <mergeCell ref="A13:B21"/>
    <mergeCell ref="J13:K14"/>
    <mergeCell ref="H13:I14"/>
    <mergeCell ref="J17:K18"/>
    <mergeCell ref="D21:F21"/>
    <mergeCell ref="C19:C20"/>
    <mergeCell ref="D17:F18"/>
    <mergeCell ref="H19:I20"/>
    <mergeCell ref="F41:G41"/>
    <mergeCell ref="I35:J35"/>
    <mergeCell ref="I36:J36"/>
    <mergeCell ref="I37:J37"/>
    <mergeCell ref="F38:G38"/>
    <mergeCell ref="F39:G39"/>
    <mergeCell ref="I41:J41"/>
    <mergeCell ref="I39:J39"/>
    <mergeCell ref="A1:E1"/>
    <mergeCell ref="A2:K2"/>
    <mergeCell ref="C13:C14"/>
    <mergeCell ref="D13:F14"/>
    <mergeCell ref="C7:C8"/>
    <mergeCell ref="G7:K7"/>
    <mergeCell ref="C5:C6"/>
    <mergeCell ref="G12:K12"/>
    <mergeCell ref="D5:F6"/>
    <mergeCell ref="G9:K9"/>
    <mergeCell ref="H21:I21"/>
    <mergeCell ref="D15:F16"/>
    <mergeCell ref="F36:G36"/>
    <mergeCell ref="F37:G37"/>
    <mergeCell ref="J19:K20"/>
    <mergeCell ref="C15:C16"/>
    <mergeCell ref="F40:G40"/>
    <mergeCell ref="I40:J40"/>
    <mergeCell ref="F25:G25"/>
    <mergeCell ref="F30:G30"/>
    <mergeCell ref="F31:G31"/>
    <mergeCell ref="F35:G35"/>
    <mergeCell ref="F32:G32"/>
    <mergeCell ref="F33:G33"/>
    <mergeCell ref="F34:G34"/>
    <mergeCell ref="F28:G28"/>
    <mergeCell ref="F29:G29"/>
    <mergeCell ref="I25:J25"/>
    <mergeCell ref="I28:J28"/>
    <mergeCell ref="I29:J29"/>
    <mergeCell ref="I27:J27"/>
    <mergeCell ref="F26:G26"/>
    <mergeCell ref="I33:J33"/>
    <mergeCell ref="I34:J34"/>
    <mergeCell ref="I32:J32"/>
    <mergeCell ref="F58:G58"/>
    <mergeCell ref="I58:J58"/>
    <mergeCell ref="F56:G56"/>
    <mergeCell ref="I56:J56"/>
    <mergeCell ref="F43:G43"/>
    <mergeCell ref="I45:J45"/>
    <mergeCell ref="I46:J46"/>
    <mergeCell ref="F44:G44"/>
    <mergeCell ref="F45:G45"/>
    <mergeCell ref="F46:G46"/>
    <mergeCell ref="I44:J44"/>
    <mergeCell ref="I43:J43"/>
    <mergeCell ref="I49:J49"/>
    <mergeCell ref="F49:G49"/>
    <mergeCell ref="I50:J50"/>
    <mergeCell ref="F51:G51"/>
  </mergeCells>
  <phoneticPr fontId="45" type="noConversion"/>
  <hyperlinks>
    <hyperlink ref="D11" r:id="rId1" xr:uid="{B10119B8-1C65-40B2-A4B0-C043FC71C1D1}"/>
    <hyperlink ref="D21" r:id="rId2" xr:uid="{FD7FC8BB-54CF-4A0A-9F35-111197DD4CD8}"/>
    <hyperlink ref="J21" r:id="rId3" xr:uid="{D961F4BE-458A-456B-BDA2-CBF074371E9C}"/>
  </hyperlinks>
  <printOptions horizontalCentered="1"/>
  <pageMargins left="0.55118110236220474" right="0.51181102362204722" top="0.74803149606299213" bottom="0.74803149606299213" header="0.31496062992125984" footer="0.31496062992125984"/>
  <pageSetup paperSize="9" scale="73" orientation="portrait" r:id="rId4"/>
  <headerFooter alignWithMargins="0"/>
  <drawing r:id="rId5"/>
</worksheet>
</file>

<file path=docMetadata/LabelInfo.xml><?xml version="1.0" encoding="utf-8"?>
<clbl:labelList xmlns:clbl="http://schemas.microsoft.com/office/2020/mipLabelMetadata">
  <clbl:label id="{c63ebcc1-4a4a-4ddc-84c1-af2a11603790}" enabled="1" method="Privileged" siteId="{4efec909-b866-43c2-93f0-7a2336f855b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9</vt:i4>
      </vt:variant>
      <vt:variant>
        <vt:lpstr>이름 지정된 범위</vt:lpstr>
      </vt:variant>
      <vt:variant>
        <vt:i4>2</vt:i4>
      </vt:variant>
    </vt:vector>
  </HeadingPairs>
  <TitlesOfParts>
    <vt:vector size="11" baseType="lpstr">
      <vt:lpstr>IN</vt:lpstr>
      <vt:lpstr>PA</vt:lpstr>
      <vt:lpstr>INVOICE</vt:lpstr>
      <vt:lpstr>PACKING</vt:lpstr>
      <vt:lpstr>쉬핑마크1</vt:lpstr>
      <vt:lpstr>Skid</vt:lpstr>
      <vt:lpstr>MASTER</vt:lpstr>
      <vt:lpstr>출고증 (2)</vt:lpstr>
      <vt:lpstr>원산지증명</vt:lpstr>
      <vt:lpstr>IN!Print_Area</vt:lpstr>
      <vt:lpstr>PA!Print_Area</vt:lpstr>
    </vt:vector>
  </TitlesOfParts>
  <Company>경창정공(주) 해외영업팀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황병욱</dc:creator>
  <cp:lastModifiedBy>Lee, Sung-yeub/Senior Manager/Sales Team(P)</cp:lastModifiedBy>
  <cp:lastPrinted>2019-02-28T01:57:33Z</cp:lastPrinted>
  <dcterms:created xsi:type="dcterms:W3CDTF">1998-03-26T03:01:15Z</dcterms:created>
  <dcterms:modified xsi:type="dcterms:W3CDTF">2026-05-25T23:08:30Z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5fcba1-1ea9-48f5-95bd-13949d21cd13_SiteId">
    <vt:lpwstr>4efec909-b866-43c2-93f0-7a2336f855b3</vt:lpwstr>
  </property>
  <property fmtid="{D5CDD505-2E9C-101B-9397-08002B2CF9AE}" pid="3" name="MSIP_Label_0f5fcba1-1ea9-48f5-95bd-13949d21cd13_SetDate">
    <vt:lpwstr>2026-03-11T03:33:21Z</vt:lpwstr>
  </property>
  <property fmtid="{D5CDD505-2E9C-101B-9397-08002B2CF9AE}" pid="4" name="MSIP_Label_0f5fcba1-1ea9-48f5-95bd-13949d21cd13_Name">
    <vt:lpwstr>Confidential</vt:lpwstr>
  </property>
  <property fmtid="{D5CDD505-2E9C-101B-9397-08002B2CF9AE}" pid="5" name="MSIP_Label_0f5fcba1-1ea9-48f5-95bd-13949d21cd13_Method">
    <vt:lpwstr>Privileged</vt:lpwstr>
  </property>
  <property fmtid="{D5CDD505-2E9C-101B-9397-08002B2CF9AE}" pid="6" name="MSIP_Label_0f5fcba1-1ea9-48f5-95bd-13949d21cd13_Enabled">
    <vt:lpwstr>true</vt:lpwstr>
  </property>
  <property fmtid="{D5CDD505-2E9C-101B-9397-08002B2CF9AE}" pid="7" name="MSIP_Label_0f5fcba1-1ea9-48f5-95bd-13949d21cd13_ContentBits">
    <vt:lpwstr>8</vt:lpwstr>
  </property>
  <property fmtid="{D5CDD505-2E9C-101B-9397-08002B2CF9AE}" pid="8" name="MSIP_Label_0f5fcba1-1ea9-48f5-95bd-13949d21cd13_ActionId">
    <vt:lpwstr>a6c293f2-9613-4e6d-a101-208fa1861da8</vt:lpwstr>
  </property>
</Properties>
</file>